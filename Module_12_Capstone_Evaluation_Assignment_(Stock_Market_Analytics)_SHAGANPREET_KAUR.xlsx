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aganpreet Kaur\OneDrive\Desktop\Assignment 22\"/>
    </mc:Choice>
  </mc:AlternateContent>
  <xr:revisionPtr revIDLastSave="0" documentId="8_{71ABE3E0-2622-4F60-B5E6-3445011A1342}" xr6:coauthVersionLast="47" xr6:coauthVersionMax="47" xr10:uidLastSave="{00000000-0000-0000-0000-000000000000}"/>
  <bookViews>
    <workbookView xWindow="-108" yWindow="-108" windowWidth="23256" windowHeight="12456" firstSheet="3" activeTab="6" xr2:uid="{00000000-000D-0000-FFFF-FFFF00000000}"/>
  </bookViews>
  <sheets>
    <sheet name="Stock_Prices" sheetId="1" r:id="rId1"/>
    <sheet name="Companies" sheetId="2" r:id="rId2"/>
    <sheet name="Sectors" sheetId="3" r:id="rId3"/>
    <sheet name="Cleaned_Stock_Prices" sheetId="4" r:id="rId4"/>
    <sheet name="Cleaned_Companies" sheetId="5" r:id="rId5"/>
    <sheet name="Cleaned_Sectors" sheetId="6" r:id="rId6"/>
    <sheet name="EXECUTIVE DAHSBOARD" sheetId="8" r:id="rId7"/>
    <sheet name="Executive_Report" sheetId="11" r:id="rId8"/>
    <sheet name="AI PROMPTS" sheetId="9" r:id="rId9"/>
    <sheet name="AI INSIGHTS" sheetId="10" r:id="rId10"/>
    <sheet name="Task1_Cleaning_Log" sheetId="7" r:id="rId11"/>
  </sheets>
  <definedNames>
    <definedName name="_xlnm._FilterDatabase" localSheetId="4" hidden="1">Cleaned_Companies!$A$1:$C$6</definedName>
    <definedName name="_xlnm._FilterDatabase" localSheetId="5" hidden="1">Cleaned_Sectors!$A$1:$B$5</definedName>
    <definedName name="_xlnm._FilterDatabase" localSheetId="3" hidden="1">Cleaned_Stock_Prices!$A$1:$J$501</definedName>
    <definedName name="_xlcn.WorksheetConnection_Module_12_Stock_Market_Capstone_Task1_Cleaned.xlsxTable11" hidden="1">Table1[]</definedName>
    <definedName name="_xlcn.WorksheetConnection_Module_12_Stock_Market_Capstone_Task1_Cleaned.xlsxTable21" hidden="1">Table2[]</definedName>
    <definedName name="_xlcn.WorksheetConnection_Module_12_Stock_Market_Capstone_Task1_Cleaned.xlsxTable31" hidden="1">Table3[]</definedName>
    <definedName name="NativeTimeline_Date">#N/A</definedName>
    <definedName name="Slicer_Company">#N/A</definedName>
    <definedName name="Slicer_Sector">#N/A</definedName>
    <definedName name="Slicer_Ticker">#N/A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FCE2AD5D-F65C-4FA6-A056-5C36A1767C68}">
      <x15:dataModel>
        <x15:modelTables>
          <x15:modelTable id="Table1" name="Stock_Prices" connection="WorksheetConnection_Module_12_Stock_Market_Capstone_Task1_Cleaned.xlsx!Table1"/>
          <x15:modelTable id="Table2" name="Companies" connection="WorksheetConnection_Module_12_Stock_Market_Capstone_Task1_Cleaned.xlsx!Table2"/>
          <x15:modelTable id="Table3" name="sectors" connection="WorksheetConnection_Module_12_Stock_Market_Capstone_Task1_Cleaned.xlsx!Table3"/>
        </x15:modelTables>
        <x15:modelRelationships>
          <x15:modelRelationship fromTable="Stock_Prices" fromColumn="Ticker" toTable="Companies" toColumn="Ticker"/>
          <x15:modelRelationship fromTable="Stock_Prices" fromColumn="Sector" toTable="sectors" toColumn="Secto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8" l="1"/>
  <c r="C5" i="8"/>
  <c r="E5" i="8"/>
  <c r="G5" i="8"/>
  <c r="K3" i="4" a="1"/>
  <c r="K4" i="4" a="1"/>
  <c r="K5" i="4" a="1"/>
  <c r="K6" i="4" a="1"/>
  <c r="K7" i="4" a="1"/>
  <c r="K8" i="4" a="1"/>
  <c r="K9" i="4" a="1"/>
  <c r="K10" i="4" a="1"/>
  <c r="K11" i="4" a="1"/>
  <c r="K12" i="4" a="1"/>
  <c r="K13" i="4" a="1"/>
  <c r="K14" i="4" a="1"/>
  <c r="K15" i="4" a="1"/>
  <c r="K16" i="4" a="1"/>
  <c r="K17" i="4" a="1"/>
  <c r="K18" i="4" a="1"/>
  <c r="K19" i="4" a="1"/>
  <c r="K20" i="4" a="1"/>
  <c r="K21" i="4" a="1"/>
  <c r="K22" i="4" a="1"/>
  <c r="K23" i="4" a="1"/>
  <c r="K24" i="4" a="1"/>
  <c r="K25" i="4" a="1"/>
  <c r="K26" i="4" a="1"/>
  <c r="K27" i="4" a="1"/>
  <c r="K28" i="4" a="1"/>
  <c r="K29" i="4" a="1"/>
  <c r="K30" i="4" a="1"/>
  <c r="K31" i="4" a="1"/>
  <c r="K32" i="4" a="1"/>
  <c r="K33" i="4" a="1"/>
  <c r="K34" i="4" a="1"/>
  <c r="K35" i="4" a="1"/>
  <c r="K36" i="4" a="1"/>
  <c r="K37" i="4" a="1"/>
  <c r="K38" i="4" a="1"/>
  <c r="K39" i="4" a="1"/>
  <c r="K40" i="4" a="1"/>
  <c r="K41" i="4" a="1"/>
  <c r="K42" i="4" a="1"/>
  <c r="K43" i="4" a="1"/>
  <c r="K44" i="4" a="1"/>
  <c r="K45" i="4" a="1"/>
  <c r="K46" i="4" a="1"/>
  <c r="K47" i="4" a="1"/>
  <c r="K48" i="4" a="1"/>
  <c r="K49" i="4" a="1"/>
  <c r="K50" i="4" a="1"/>
  <c r="K51" i="4" a="1"/>
  <c r="K52" i="4" a="1"/>
  <c r="K53" i="4" a="1"/>
  <c r="K54" i="4" a="1"/>
  <c r="K55" i="4" a="1"/>
  <c r="K56" i="4" a="1"/>
  <c r="K57" i="4" a="1"/>
  <c r="K58" i="4" a="1"/>
  <c r="K59" i="4" a="1"/>
  <c r="K60" i="4" a="1"/>
  <c r="K61" i="4" a="1"/>
  <c r="K62" i="4" a="1"/>
  <c r="K63" i="4" a="1"/>
  <c r="K64" i="4" a="1"/>
  <c r="K65" i="4" a="1"/>
  <c r="K66" i="4" a="1"/>
  <c r="K67" i="4" a="1"/>
  <c r="K68" i="4" a="1"/>
  <c r="K69" i="4" a="1"/>
  <c r="K70" i="4" a="1"/>
  <c r="K71" i="4" a="1"/>
  <c r="K72" i="4" a="1"/>
  <c r="K73" i="4" a="1"/>
  <c r="K74" i="4" a="1"/>
  <c r="K75" i="4" a="1"/>
  <c r="K76" i="4" a="1"/>
  <c r="K77" i="4" a="1"/>
  <c r="K78" i="4" a="1"/>
  <c r="K79" i="4" a="1"/>
  <c r="K80" i="4" a="1"/>
  <c r="K81" i="4" a="1"/>
  <c r="K82" i="4" a="1"/>
  <c r="K83" i="4" a="1"/>
  <c r="K84" i="4" a="1"/>
  <c r="K85" i="4" a="1"/>
  <c r="K86" i="4" a="1"/>
  <c r="K87" i="4" a="1"/>
  <c r="K88" i="4" a="1"/>
  <c r="K89" i="4" a="1"/>
  <c r="K90" i="4" a="1"/>
  <c r="K91" i="4" a="1"/>
  <c r="K92" i="4" a="1"/>
  <c r="K93" i="4" a="1"/>
  <c r="K94" i="4" a="1"/>
  <c r="K95" i="4" a="1"/>
  <c r="K96" i="4" a="1"/>
  <c r="K97" i="4" a="1"/>
  <c r="K98" i="4" a="1"/>
  <c r="K99" i="4" a="1"/>
  <c r="K100" i="4" a="1"/>
  <c r="K101" i="4" a="1"/>
  <c r="K102" i="4" a="1"/>
  <c r="K103" i="4" a="1"/>
  <c r="K104" i="4" a="1"/>
  <c r="K105" i="4" a="1"/>
  <c r="K106" i="4" a="1"/>
  <c r="K107" i="4" a="1"/>
  <c r="K108" i="4" a="1"/>
  <c r="K109" i="4" a="1"/>
  <c r="K110" i="4" a="1"/>
  <c r="K111" i="4" a="1"/>
  <c r="K112" i="4" a="1"/>
  <c r="K113" i="4" a="1"/>
  <c r="K114" i="4" a="1"/>
  <c r="K115" i="4" a="1"/>
  <c r="K116" i="4" a="1"/>
  <c r="K117" i="4" a="1"/>
  <c r="K118" i="4" a="1"/>
  <c r="K119" i="4" a="1"/>
  <c r="K120" i="4" a="1"/>
  <c r="K121" i="4" a="1"/>
  <c r="K122" i="4" a="1"/>
  <c r="K123" i="4" a="1"/>
  <c r="K124" i="4" a="1"/>
  <c r="K125" i="4" a="1"/>
  <c r="K126" i="4" a="1"/>
  <c r="K127" i="4" a="1"/>
  <c r="K128" i="4" a="1"/>
  <c r="K129" i="4" a="1"/>
  <c r="K130" i="4" a="1"/>
  <c r="K131" i="4" a="1"/>
  <c r="K132" i="4" a="1"/>
  <c r="K133" i="4" a="1"/>
  <c r="K134" i="4" a="1"/>
  <c r="K135" i="4" a="1"/>
  <c r="K136" i="4" a="1"/>
  <c r="K137" i="4" a="1"/>
  <c r="K138" i="4" a="1"/>
  <c r="K139" i="4" a="1"/>
  <c r="K140" i="4" a="1"/>
  <c r="K141" i="4" a="1"/>
  <c r="K142" i="4" a="1"/>
  <c r="K143" i="4" a="1"/>
  <c r="K144" i="4" a="1"/>
  <c r="K145" i="4" a="1"/>
  <c r="K146" i="4" a="1"/>
  <c r="K147" i="4" a="1"/>
  <c r="K148" i="4" a="1"/>
  <c r="K149" i="4" a="1"/>
  <c r="K150" i="4" a="1"/>
  <c r="K151" i="4" a="1"/>
  <c r="K152" i="4" a="1"/>
  <c r="K153" i="4" a="1"/>
  <c r="K154" i="4" a="1"/>
  <c r="K155" i="4" a="1"/>
  <c r="K156" i="4" a="1"/>
  <c r="K157" i="4" a="1"/>
  <c r="K158" i="4" a="1"/>
  <c r="K159" i="4" a="1"/>
  <c r="K160" i="4" a="1"/>
  <c r="K161" i="4" a="1"/>
  <c r="K162" i="4" a="1"/>
  <c r="K163" i="4" a="1"/>
  <c r="K164" i="4" a="1"/>
  <c r="K165" i="4" a="1"/>
  <c r="K166" i="4" a="1"/>
  <c r="K167" i="4" a="1"/>
  <c r="K168" i="4" a="1"/>
  <c r="K169" i="4" a="1"/>
  <c r="K170" i="4" a="1"/>
  <c r="K171" i="4" a="1"/>
  <c r="K172" i="4" a="1"/>
  <c r="K173" i="4" a="1"/>
  <c r="K174" i="4" a="1"/>
  <c r="K175" i="4" a="1"/>
  <c r="K176" i="4" a="1"/>
  <c r="K177" i="4" a="1"/>
  <c r="K178" i="4" a="1"/>
  <c r="K179" i="4" a="1"/>
  <c r="K180" i="4" a="1"/>
  <c r="K181" i="4" a="1"/>
  <c r="K182" i="4" a="1"/>
  <c r="K183" i="4" a="1"/>
  <c r="K184" i="4" a="1"/>
  <c r="K185" i="4" a="1"/>
  <c r="K186" i="4" a="1"/>
  <c r="K187" i="4" a="1"/>
  <c r="K188" i="4" a="1"/>
  <c r="K189" i="4" a="1"/>
  <c r="K190" i="4" a="1"/>
  <c r="K191" i="4" a="1"/>
  <c r="K192" i="4" a="1"/>
  <c r="K193" i="4" a="1"/>
  <c r="K194" i="4" a="1"/>
  <c r="K195" i="4" a="1"/>
  <c r="K196" i="4" a="1"/>
  <c r="K197" i="4" a="1"/>
  <c r="K198" i="4" a="1"/>
  <c r="K199" i="4" a="1"/>
  <c r="K200" i="4" a="1"/>
  <c r="K201" i="4" a="1"/>
  <c r="K202" i="4" a="1"/>
  <c r="K203" i="4" a="1"/>
  <c r="K204" i="4" a="1"/>
  <c r="K205" i="4" a="1"/>
  <c r="K206" i="4" a="1"/>
  <c r="K207" i="4" a="1"/>
  <c r="K208" i="4" a="1"/>
  <c r="K209" i="4" a="1"/>
  <c r="K210" i="4" a="1"/>
  <c r="K211" i="4" a="1"/>
  <c r="K212" i="4" a="1"/>
  <c r="K213" i="4" a="1"/>
  <c r="K214" i="4" a="1"/>
  <c r="K215" i="4" a="1"/>
  <c r="K216" i="4" a="1"/>
  <c r="K217" i="4" a="1"/>
  <c r="K218" i="4" a="1"/>
  <c r="K219" i="4" a="1"/>
  <c r="K220" i="4" a="1"/>
  <c r="K221" i="4" a="1"/>
  <c r="K222" i="4" a="1"/>
  <c r="K223" i="4" a="1"/>
  <c r="K224" i="4" a="1"/>
  <c r="K225" i="4" a="1"/>
  <c r="K226" i="4" a="1"/>
  <c r="K227" i="4" a="1"/>
  <c r="K228" i="4" a="1"/>
  <c r="K229" i="4" a="1"/>
  <c r="K230" i="4" a="1"/>
  <c r="K231" i="4" a="1"/>
  <c r="K232" i="4" a="1"/>
  <c r="K233" i="4" a="1"/>
  <c r="K234" i="4" a="1"/>
  <c r="K235" i="4" a="1"/>
  <c r="K236" i="4" a="1"/>
  <c r="K237" i="4" a="1"/>
  <c r="K238" i="4" a="1"/>
  <c r="K239" i="4" a="1"/>
  <c r="K240" i="4" a="1"/>
  <c r="K241" i="4" a="1"/>
  <c r="K242" i="4" a="1"/>
  <c r="K243" i="4" a="1"/>
  <c r="K244" i="4" a="1"/>
  <c r="K245" i="4" a="1"/>
  <c r="K246" i="4" a="1"/>
  <c r="K247" i="4" a="1"/>
  <c r="K248" i="4" a="1"/>
  <c r="K249" i="4" a="1"/>
  <c r="K250" i="4" a="1"/>
  <c r="K251" i="4" a="1"/>
  <c r="K252" i="4" a="1"/>
  <c r="K253" i="4" a="1"/>
  <c r="K254" i="4" a="1"/>
  <c r="K255" i="4" a="1"/>
  <c r="K256" i="4" a="1"/>
  <c r="K257" i="4" a="1"/>
  <c r="K258" i="4" a="1"/>
  <c r="K259" i="4" a="1"/>
  <c r="K260" i="4" a="1"/>
  <c r="K261" i="4" a="1"/>
  <c r="K262" i="4" a="1"/>
  <c r="K263" i="4" a="1"/>
  <c r="K264" i="4" a="1"/>
  <c r="K265" i="4" a="1"/>
  <c r="K266" i="4" a="1"/>
  <c r="K267" i="4" a="1"/>
  <c r="K268" i="4" a="1"/>
  <c r="K269" i="4" a="1"/>
  <c r="K270" i="4" a="1"/>
  <c r="K271" i="4" a="1"/>
  <c r="K272" i="4" a="1"/>
  <c r="K273" i="4" a="1"/>
  <c r="K274" i="4" a="1"/>
  <c r="K275" i="4" a="1"/>
  <c r="K276" i="4" a="1"/>
  <c r="K277" i="4" a="1"/>
  <c r="K278" i="4" a="1"/>
  <c r="K279" i="4" a="1"/>
  <c r="K280" i="4" a="1"/>
  <c r="K281" i="4" a="1"/>
  <c r="K282" i="4" a="1"/>
  <c r="K283" i="4" a="1"/>
  <c r="K284" i="4" a="1"/>
  <c r="K285" i="4" a="1"/>
  <c r="K286" i="4" a="1"/>
  <c r="K287" i="4" a="1"/>
  <c r="K288" i="4" a="1"/>
  <c r="K289" i="4" a="1"/>
  <c r="K290" i="4" a="1"/>
  <c r="K291" i="4" a="1"/>
  <c r="K292" i="4" a="1"/>
  <c r="K293" i="4" a="1"/>
  <c r="K294" i="4" a="1"/>
  <c r="K295" i="4" a="1"/>
  <c r="K296" i="4" a="1"/>
  <c r="K297" i="4" a="1"/>
  <c r="K298" i="4" a="1"/>
  <c r="K299" i="4" a="1"/>
  <c r="K300" i="4" a="1"/>
  <c r="K301" i="4" a="1"/>
  <c r="K302" i="4" a="1"/>
  <c r="K303" i="4" a="1"/>
  <c r="K304" i="4" a="1"/>
  <c r="K305" i="4" a="1"/>
  <c r="K306" i="4" a="1"/>
  <c r="K307" i="4" a="1"/>
  <c r="K308" i="4" a="1"/>
  <c r="K309" i="4" a="1"/>
  <c r="K310" i="4" a="1"/>
  <c r="K311" i="4" a="1"/>
  <c r="K312" i="4" a="1"/>
  <c r="K313" i="4" a="1"/>
  <c r="K314" i="4" a="1"/>
  <c r="K315" i="4" a="1"/>
  <c r="K316" i="4" a="1"/>
  <c r="K317" i="4" a="1"/>
  <c r="K318" i="4" a="1"/>
  <c r="K319" i="4" a="1"/>
  <c r="K320" i="4" a="1"/>
  <c r="K321" i="4" a="1"/>
  <c r="K322" i="4" a="1"/>
  <c r="K323" i="4" a="1"/>
  <c r="K324" i="4" a="1"/>
  <c r="K325" i="4" a="1"/>
  <c r="K326" i="4" a="1"/>
  <c r="K327" i="4" a="1"/>
  <c r="K328" i="4" a="1"/>
  <c r="K329" i="4" a="1"/>
  <c r="K330" i="4" a="1"/>
  <c r="K331" i="4" a="1"/>
  <c r="K332" i="4" a="1"/>
  <c r="K333" i="4" a="1"/>
  <c r="K334" i="4" a="1"/>
  <c r="K335" i="4" a="1"/>
  <c r="K336" i="4" a="1"/>
  <c r="K337" i="4" a="1"/>
  <c r="K338" i="4" a="1"/>
  <c r="K339" i="4" a="1"/>
  <c r="K340" i="4" a="1"/>
  <c r="K341" i="4" a="1"/>
  <c r="K342" i="4" a="1"/>
  <c r="K343" i="4" a="1"/>
  <c r="K344" i="4" a="1"/>
  <c r="K345" i="4" a="1"/>
  <c r="K346" i="4" a="1"/>
  <c r="K347" i="4" a="1"/>
  <c r="K348" i="4" a="1"/>
  <c r="K349" i="4" a="1"/>
  <c r="K350" i="4" a="1"/>
  <c r="K351" i="4" a="1"/>
  <c r="K352" i="4" a="1"/>
  <c r="K353" i="4" a="1"/>
  <c r="K354" i="4" a="1"/>
  <c r="K355" i="4" a="1"/>
  <c r="K356" i="4" a="1"/>
  <c r="K357" i="4" a="1"/>
  <c r="K358" i="4" a="1"/>
  <c r="K359" i="4" a="1"/>
  <c r="K360" i="4" a="1"/>
  <c r="K361" i="4" a="1"/>
  <c r="K362" i="4" a="1"/>
  <c r="K363" i="4" a="1"/>
  <c r="K364" i="4" a="1"/>
  <c r="K365" i="4" a="1"/>
  <c r="K366" i="4" a="1"/>
  <c r="K367" i="4" a="1"/>
  <c r="K368" i="4" a="1"/>
  <c r="K369" i="4" a="1"/>
  <c r="K370" i="4" a="1"/>
  <c r="K371" i="4" a="1"/>
  <c r="K372" i="4" a="1"/>
  <c r="K373" i="4" a="1"/>
  <c r="K374" i="4" a="1"/>
  <c r="K375" i="4" a="1"/>
  <c r="K376" i="4" a="1"/>
  <c r="K377" i="4" a="1"/>
  <c r="K378" i="4" a="1"/>
  <c r="K379" i="4" a="1"/>
  <c r="K380" i="4" a="1"/>
  <c r="K381" i="4" a="1"/>
  <c r="K382" i="4" a="1"/>
  <c r="K383" i="4" a="1"/>
  <c r="K384" i="4" a="1"/>
  <c r="K385" i="4" a="1"/>
  <c r="K386" i="4" a="1"/>
  <c r="K387" i="4" a="1"/>
  <c r="K388" i="4" a="1"/>
  <c r="K389" i="4" a="1"/>
  <c r="K390" i="4" a="1"/>
  <c r="K391" i="4" a="1"/>
  <c r="K392" i="4" a="1"/>
  <c r="K393" i="4" a="1"/>
  <c r="K394" i="4" a="1"/>
  <c r="K395" i="4" a="1"/>
  <c r="K396" i="4" a="1"/>
  <c r="K397" i="4" a="1"/>
  <c r="K398" i="4" a="1"/>
  <c r="K399" i="4" a="1"/>
  <c r="K400" i="4" a="1"/>
  <c r="K401" i="4" a="1"/>
  <c r="K402" i="4" a="1"/>
  <c r="K403" i="4" a="1"/>
  <c r="K404" i="4" a="1"/>
  <c r="K405" i="4" a="1"/>
  <c r="K406" i="4" a="1"/>
  <c r="K407" i="4" a="1"/>
  <c r="K408" i="4" a="1"/>
  <c r="K409" i="4" a="1"/>
  <c r="K410" i="4" a="1"/>
  <c r="K411" i="4" a="1"/>
  <c r="K412" i="4" a="1"/>
  <c r="K413" i="4" a="1"/>
  <c r="K414" i="4" a="1"/>
  <c r="K415" i="4" a="1"/>
  <c r="K416" i="4" a="1"/>
  <c r="K417" i="4" a="1"/>
  <c r="K418" i="4" a="1"/>
  <c r="K419" i="4" a="1"/>
  <c r="K420" i="4" a="1"/>
  <c r="K421" i="4" a="1"/>
  <c r="K422" i="4" a="1"/>
  <c r="K423" i="4" a="1"/>
  <c r="K424" i="4" a="1"/>
  <c r="K425" i="4" a="1"/>
  <c r="K426" i="4" a="1"/>
  <c r="K427" i="4" a="1"/>
  <c r="K428" i="4" a="1"/>
  <c r="K429" i="4" a="1"/>
  <c r="K430" i="4" a="1"/>
  <c r="K431" i="4" a="1"/>
  <c r="K432" i="4" a="1"/>
  <c r="K433" i="4" a="1"/>
  <c r="K434" i="4" a="1"/>
  <c r="K435" i="4" a="1"/>
  <c r="K436" i="4" a="1"/>
  <c r="K437" i="4" a="1"/>
  <c r="K438" i="4" a="1"/>
  <c r="K439" i="4" a="1"/>
  <c r="K440" i="4" a="1"/>
  <c r="K441" i="4" a="1"/>
  <c r="K442" i="4" a="1"/>
  <c r="K443" i="4" a="1"/>
  <c r="K444" i="4" a="1"/>
  <c r="K445" i="4" a="1"/>
  <c r="K446" i="4" a="1"/>
  <c r="K447" i="4" a="1"/>
  <c r="K448" i="4" a="1"/>
  <c r="K449" i="4" a="1"/>
  <c r="K450" i="4" a="1"/>
  <c r="K451" i="4" a="1"/>
  <c r="K452" i="4" a="1"/>
  <c r="K453" i="4" a="1"/>
  <c r="K454" i="4" a="1"/>
  <c r="K455" i="4" a="1"/>
  <c r="K456" i="4" a="1"/>
  <c r="K457" i="4" a="1"/>
  <c r="K458" i="4" a="1"/>
  <c r="K459" i="4" a="1"/>
  <c r="K460" i="4" a="1"/>
  <c r="K461" i="4" a="1"/>
  <c r="K462" i="4" a="1"/>
  <c r="K463" i="4" a="1"/>
  <c r="K464" i="4" a="1"/>
  <c r="K465" i="4" a="1"/>
  <c r="K466" i="4" a="1"/>
  <c r="K467" i="4" a="1"/>
  <c r="K468" i="4" a="1"/>
  <c r="K469" i="4" a="1"/>
  <c r="K470" i="4" a="1"/>
  <c r="K471" i="4" a="1"/>
  <c r="K472" i="4" a="1"/>
  <c r="K473" i="4" a="1"/>
  <c r="K474" i="4" a="1"/>
  <c r="K475" i="4" a="1"/>
  <c r="K476" i="4" a="1"/>
  <c r="K477" i="4" a="1"/>
  <c r="K478" i="4" a="1"/>
  <c r="K479" i="4" a="1"/>
  <c r="K480" i="4" a="1"/>
  <c r="K481" i="4" a="1"/>
  <c r="K482" i="4" a="1"/>
  <c r="K483" i="4" a="1"/>
  <c r="K484" i="4" a="1"/>
  <c r="K485" i="4" a="1"/>
  <c r="K486" i="4" a="1"/>
  <c r="K487" i="4" a="1"/>
  <c r="K488" i="4" a="1"/>
  <c r="K489" i="4" a="1"/>
  <c r="K490" i="4" a="1"/>
  <c r="K491" i="4" a="1"/>
  <c r="K492" i="4" a="1"/>
  <c r="K493" i="4" a="1"/>
  <c r="K494" i="4" a="1"/>
  <c r="K495" i="4" a="1"/>
  <c r="K496" i="4" a="1"/>
  <c r="K497" i="4" a="1"/>
  <c r="K498" i="4" a="1"/>
  <c r="K499" i="4" a="1"/>
  <c r="K500" i="4" a="1"/>
  <c r="K501" i="4" a="1"/>
  <c r="K2" i="4"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5A01D8-D3CA-4079-AF80-8EBEBD3B0A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F5C7E1B-706F-4A05-8E6C-3310F8BD7F2B}" name="WorksheetConnection_Module_12_Stock_Market_Capstone_Task1_Cleaned.xlsx!Table1" type="102" refreshedVersion="8" minRefreshableVersion="5">
    <extLst>
      <ext xmlns:x15="http://schemas.microsoft.com/office/spreadsheetml/2010/11/main" uri="{DE250136-89BD-433C-8126-D09CA5730AF9}">
        <x15:connection id="Table1">
          <x15:rangePr sourceName="_xlcn.WorksheetConnection_Module_12_Stock_Market_Capstone_Task1_Cleaned.xlsxTable11"/>
        </x15:connection>
      </ext>
    </extLst>
  </connection>
  <connection id="3" xr16:uid="{6A6B026D-05C4-4DBA-9190-BA4641DB0BB4}" name="WorksheetConnection_Module_12_Stock_Market_Capstone_Task1_Cleaned.xlsx!Table2" type="102" refreshedVersion="8" minRefreshableVersion="5">
    <extLst>
      <ext xmlns:x15="http://schemas.microsoft.com/office/spreadsheetml/2010/11/main" uri="{DE250136-89BD-433C-8126-D09CA5730AF9}">
        <x15:connection id="Table2">
          <x15:rangePr sourceName="_xlcn.WorksheetConnection_Module_12_Stock_Market_Capstone_Task1_Cleaned.xlsxTable21"/>
        </x15:connection>
      </ext>
    </extLst>
  </connection>
  <connection id="4" xr16:uid="{FA52C97B-0D04-435C-BAC0-F057D966E1CD}" name="WorksheetConnection_Module_12_Stock_Market_Capstone_Task1_Cleaned.xlsx!Table3" type="102" refreshedVersion="8" minRefreshableVersion="5">
    <extLst>
      <ext xmlns:x15="http://schemas.microsoft.com/office/spreadsheetml/2010/11/main" uri="{DE250136-89BD-433C-8126-D09CA5730AF9}">
        <x15:connection id="Table3">
          <x15:rangePr sourceName="_xlcn.WorksheetConnection_Module_12_Stock_Market_Capstone_Task1_Cleaned.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<sst xmlns="http://schemas.openxmlformats.org/spreadsheetml/2006/main" count="4548" uniqueCount="522">
  <si>
    <t>Trade_ID</t>
  </si>
  <si>
    <t>Date</t>
  </si>
  <si>
    <t>Ticker</t>
  </si>
  <si>
    <t>Company</t>
  </si>
  <si>
    <t>Sector</t>
  </si>
  <si>
    <t>Open</t>
  </si>
  <si>
    <t>High</t>
  </si>
  <si>
    <t>Low</t>
  </si>
  <si>
    <t>Close</t>
  </si>
  <si>
    <t>Volume</t>
  </si>
  <si>
    <t>TR-1</t>
  </si>
  <si>
    <t>2026/03/01</t>
  </si>
  <si>
    <t>RELIANCE</t>
  </si>
  <si>
    <t>Reliance</t>
  </si>
  <si>
    <t>TR1</t>
  </si>
  <si>
    <t>01/02/2026</t>
  </si>
  <si>
    <t>TATAMOTORS</t>
  </si>
  <si>
    <t>Tata Motors</t>
  </si>
  <si>
    <t>Auto</t>
  </si>
  <si>
    <t>500K</t>
  </si>
  <si>
    <t>TR2</t>
  </si>
  <si>
    <t>2026-01-01</t>
  </si>
  <si>
    <t>TCS</t>
  </si>
  <si>
    <t>IT</t>
  </si>
  <si>
    <t>TR3</t>
  </si>
  <si>
    <t>TR4</t>
  </si>
  <si>
    <t>HDFCBANK</t>
  </si>
  <si>
    <t>HDFC Bank</t>
  </si>
  <si>
    <t>Banking</t>
  </si>
  <si>
    <t>TR6</t>
  </si>
  <si>
    <t>AUTO</t>
  </si>
  <si>
    <t>TR7</t>
  </si>
  <si>
    <t>TR9</t>
  </si>
  <si>
    <t>TR10</t>
  </si>
  <si>
    <t>TR12</t>
  </si>
  <si>
    <t>TR13</t>
  </si>
  <si>
    <t>TR14</t>
  </si>
  <si>
    <t>Energy</t>
  </si>
  <si>
    <t>TR15</t>
  </si>
  <si>
    <t>ENERGY</t>
  </si>
  <si>
    <t>TR16</t>
  </si>
  <si>
    <t>TR17</t>
  </si>
  <si>
    <t>TR19</t>
  </si>
  <si>
    <t>INFY</t>
  </si>
  <si>
    <t>Infosys</t>
  </si>
  <si>
    <t>TR21</t>
  </si>
  <si>
    <t>TR22</t>
  </si>
  <si>
    <t>TR23</t>
  </si>
  <si>
    <t>TR24</t>
  </si>
  <si>
    <t>TR25</t>
  </si>
  <si>
    <t>TR26</t>
  </si>
  <si>
    <t>BANKING</t>
  </si>
  <si>
    <t>TR27</t>
  </si>
  <si>
    <t>TR29</t>
  </si>
  <si>
    <t>TR30</t>
  </si>
  <si>
    <t>TR31</t>
  </si>
  <si>
    <t>TR32</t>
  </si>
  <si>
    <t>TR34</t>
  </si>
  <si>
    <t>TR35</t>
  </si>
  <si>
    <t>TR36</t>
  </si>
  <si>
    <t>TR37</t>
  </si>
  <si>
    <t>TR39</t>
  </si>
  <si>
    <t>TR40</t>
  </si>
  <si>
    <t>TR41</t>
  </si>
  <si>
    <t>TR42</t>
  </si>
  <si>
    <t>TR44</t>
  </si>
  <si>
    <t>TR45</t>
  </si>
  <si>
    <t>TR46</t>
  </si>
  <si>
    <t>TR48</t>
  </si>
  <si>
    <t>TR49</t>
  </si>
  <si>
    <t>TR51</t>
  </si>
  <si>
    <t>TR53</t>
  </si>
  <si>
    <t>TR55</t>
  </si>
  <si>
    <t>TR56</t>
  </si>
  <si>
    <t>TR58</t>
  </si>
  <si>
    <t>TR59</t>
  </si>
  <si>
    <t>TR60</t>
  </si>
  <si>
    <t>TR61</t>
  </si>
  <si>
    <t>TR62</t>
  </si>
  <si>
    <t>TR63</t>
  </si>
  <si>
    <t>TR64</t>
  </si>
  <si>
    <t>TR65</t>
  </si>
  <si>
    <t>TR67</t>
  </si>
  <si>
    <t>TR68</t>
  </si>
  <si>
    <t>TR69</t>
  </si>
  <si>
    <t>TR70</t>
  </si>
  <si>
    <t>TR71</t>
  </si>
  <si>
    <t>TR72</t>
  </si>
  <si>
    <t>TR73</t>
  </si>
  <si>
    <t>TR75</t>
  </si>
  <si>
    <t>TR76</t>
  </si>
  <si>
    <t>TR77</t>
  </si>
  <si>
    <t>TR78</t>
  </si>
  <si>
    <t>TR80</t>
  </si>
  <si>
    <t>TR81</t>
  </si>
  <si>
    <t>TR83</t>
  </si>
  <si>
    <t>TR84</t>
  </si>
  <si>
    <t>TR86</t>
  </si>
  <si>
    <t>TR87</t>
  </si>
  <si>
    <t>TR89</t>
  </si>
  <si>
    <t>TR90</t>
  </si>
  <si>
    <t>TR91</t>
  </si>
  <si>
    <t>TR92</t>
  </si>
  <si>
    <t>TR94</t>
  </si>
  <si>
    <t>TR95</t>
  </si>
  <si>
    <t>TR96</t>
  </si>
  <si>
    <t>TR97</t>
  </si>
  <si>
    <t>TR99</t>
  </si>
  <si>
    <t>TR100</t>
  </si>
  <si>
    <t>TR102</t>
  </si>
  <si>
    <t>TR104</t>
  </si>
  <si>
    <t>TR105</t>
  </si>
  <si>
    <t>TR106</t>
  </si>
  <si>
    <t>TR108</t>
  </si>
  <si>
    <t>TR109</t>
  </si>
  <si>
    <t>TR110</t>
  </si>
  <si>
    <t>TR111</t>
  </si>
  <si>
    <t>TR113</t>
  </si>
  <si>
    <t>TR114</t>
  </si>
  <si>
    <t>TR115</t>
  </si>
  <si>
    <t>TR117</t>
  </si>
  <si>
    <t>TR118</t>
  </si>
  <si>
    <t>TR119</t>
  </si>
  <si>
    <t>TR121</t>
  </si>
  <si>
    <t>TR123</t>
  </si>
  <si>
    <t>TR124</t>
  </si>
  <si>
    <t>TR125</t>
  </si>
  <si>
    <t>TR126</t>
  </si>
  <si>
    <t>TR128</t>
  </si>
  <si>
    <t>TR129</t>
  </si>
  <si>
    <t>TR130</t>
  </si>
  <si>
    <t>TR132</t>
  </si>
  <si>
    <t>TR133</t>
  </si>
  <si>
    <t>TR135</t>
  </si>
  <si>
    <t>TR136</t>
  </si>
  <si>
    <t>TR137</t>
  </si>
  <si>
    <t>TR138</t>
  </si>
  <si>
    <t>TR139</t>
  </si>
  <si>
    <t>TR141</t>
  </si>
  <si>
    <t>TR143</t>
  </si>
  <si>
    <t>TR144</t>
  </si>
  <si>
    <t>TR146</t>
  </si>
  <si>
    <t>TR147</t>
  </si>
  <si>
    <t>TR148</t>
  </si>
  <si>
    <t>TR149</t>
  </si>
  <si>
    <t>TR151</t>
  </si>
  <si>
    <t>TR153</t>
  </si>
  <si>
    <t>TR154</t>
  </si>
  <si>
    <t>TR156</t>
  </si>
  <si>
    <t>TR157</t>
  </si>
  <si>
    <t>TR159</t>
  </si>
  <si>
    <t>TR160</t>
  </si>
  <si>
    <t>TR162</t>
  </si>
  <si>
    <t>TR164</t>
  </si>
  <si>
    <t>TR165</t>
  </si>
  <si>
    <t>TR166</t>
  </si>
  <si>
    <t>TR168</t>
  </si>
  <si>
    <t>TR169</t>
  </si>
  <si>
    <t>TR170</t>
  </si>
  <si>
    <t>TR171</t>
  </si>
  <si>
    <t>TR172</t>
  </si>
  <si>
    <t>TR173</t>
  </si>
  <si>
    <t>TR175</t>
  </si>
  <si>
    <t>TR176</t>
  </si>
  <si>
    <t>TR177</t>
  </si>
  <si>
    <t>TR179</t>
  </si>
  <si>
    <t>TR180</t>
  </si>
  <si>
    <t>TR182</t>
  </si>
  <si>
    <t>TR183</t>
  </si>
  <si>
    <t>TR184</t>
  </si>
  <si>
    <t>TR185</t>
  </si>
  <si>
    <t>TR186</t>
  </si>
  <si>
    <t>TR188</t>
  </si>
  <si>
    <t>TR190</t>
  </si>
  <si>
    <t>TR191</t>
  </si>
  <si>
    <t>TR192</t>
  </si>
  <si>
    <t>TR194</t>
  </si>
  <si>
    <t>TR195</t>
  </si>
  <si>
    <t>TR197</t>
  </si>
  <si>
    <t>TR198</t>
  </si>
  <si>
    <t>TR199</t>
  </si>
  <si>
    <t>TR200</t>
  </si>
  <si>
    <t>TR201</t>
  </si>
  <si>
    <t>TR202</t>
  </si>
  <si>
    <t>TR203</t>
  </si>
  <si>
    <t>TR205</t>
  </si>
  <si>
    <t>TR206</t>
  </si>
  <si>
    <t>TR208</t>
  </si>
  <si>
    <t>TR210</t>
  </si>
  <si>
    <t>TR211</t>
  </si>
  <si>
    <t>TR213</t>
  </si>
  <si>
    <t>TR215</t>
  </si>
  <si>
    <t>TR217</t>
  </si>
  <si>
    <t>TR218</t>
  </si>
  <si>
    <t>TR220</t>
  </si>
  <si>
    <t>TR221</t>
  </si>
  <si>
    <t>TR222</t>
  </si>
  <si>
    <t>TR224</t>
  </si>
  <si>
    <t>TR225</t>
  </si>
  <si>
    <t>TR226</t>
  </si>
  <si>
    <t>TR228</t>
  </si>
  <si>
    <t>TR229</t>
  </si>
  <si>
    <t>TR230</t>
  </si>
  <si>
    <t>TR232</t>
  </si>
  <si>
    <t>TR233</t>
  </si>
  <si>
    <t>TR234</t>
  </si>
  <si>
    <t>TR236</t>
  </si>
  <si>
    <t>TR237</t>
  </si>
  <si>
    <t>TR238</t>
  </si>
  <si>
    <t>TR240</t>
  </si>
  <si>
    <t>TR241</t>
  </si>
  <si>
    <t>TR243</t>
  </si>
  <si>
    <t>TR245</t>
  </si>
  <si>
    <t>TR246</t>
  </si>
  <si>
    <t>TR247</t>
  </si>
  <si>
    <t>TR248</t>
  </si>
  <si>
    <t>TR249</t>
  </si>
  <si>
    <t>TR251</t>
  </si>
  <si>
    <t>TR252</t>
  </si>
  <si>
    <t>TR254</t>
  </si>
  <si>
    <t>TR255</t>
  </si>
  <si>
    <t>TR256</t>
  </si>
  <si>
    <t>TR257</t>
  </si>
  <si>
    <t>TR259</t>
  </si>
  <si>
    <t>TR260</t>
  </si>
  <si>
    <t>TR262</t>
  </si>
  <si>
    <t>TR263</t>
  </si>
  <si>
    <t>TR264</t>
  </si>
  <si>
    <t>TR266</t>
  </si>
  <si>
    <t>TR267</t>
  </si>
  <si>
    <t>TR268</t>
  </si>
  <si>
    <t>TR270</t>
  </si>
  <si>
    <t>TR271</t>
  </si>
  <si>
    <t>TR273</t>
  </si>
  <si>
    <t>TR274</t>
  </si>
  <si>
    <t>TR275</t>
  </si>
  <si>
    <t>TR276</t>
  </si>
  <si>
    <t>TR277</t>
  </si>
  <si>
    <t>TR279</t>
  </si>
  <si>
    <t>TR280</t>
  </si>
  <si>
    <t>TR281</t>
  </si>
  <si>
    <t>TR283</t>
  </si>
  <si>
    <t>TR284</t>
  </si>
  <si>
    <t>TR286</t>
  </si>
  <si>
    <t>TR287</t>
  </si>
  <si>
    <t>TR289</t>
  </si>
  <si>
    <t>TR290</t>
  </si>
  <si>
    <t>TR291</t>
  </si>
  <si>
    <t>TR292</t>
  </si>
  <si>
    <t>TR294</t>
  </si>
  <si>
    <t>TR295</t>
  </si>
  <si>
    <t>TR296</t>
  </si>
  <si>
    <t>TR297</t>
  </si>
  <si>
    <t>TR298</t>
  </si>
  <si>
    <t>TR299</t>
  </si>
  <si>
    <t>TR300</t>
  </si>
  <si>
    <t>TR301</t>
  </si>
  <si>
    <t>TR302</t>
  </si>
  <si>
    <t>TR303</t>
  </si>
  <si>
    <t>TR304</t>
  </si>
  <si>
    <t>TR306</t>
  </si>
  <si>
    <t>TR308</t>
  </si>
  <si>
    <t>TR309</t>
  </si>
  <si>
    <t>TR311</t>
  </si>
  <si>
    <t>TR312</t>
  </si>
  <si>
    <t>TR314</t>
  </si>
  <si>
    <t>TR315</t>
  </si>
  <si>
    <t>TR317</t>
  </si>
  <si>
    <t>TR318</t>
  </si>
  <si>
    <t>TR319</t>
  </si>
  <si>
    <t>TR320</t>
  </si>
  <si>
    <t>TR321</t>
  </si>
  <si>
    <t>TR322</t>
  </si>
  <si>
    <t>TR323</t>
  </si>
  <si>
    <t>TR324</t>
  </si>
  <si>
    <t>TR325</t>
  </si>
  <si>
    <t>TR327</t>
  </si>
  <si>
    <t>TR328</t>
  </si>
  <si>
    <t>TR329</t>
  </si>
  <si>
    <t>TR330</t>
  </si>
  <si>
    <t>TR332</t>
  </si>
  <si>
    <t>TR333</t>
  </si>
  <si>
    <t>TR335</t>
  </si>
  <si>
    <t>TR336</t>
  </si>
  <si>
    <t>TR338</t>
  </si>
  <si>
    <t>TR339</t>
  </si>
  <si>
    <t>TR341</t>
  </si>
  <si>
    <t>TR343</t>
  </si>
  <si>
    <t>TR344</t>
  </si>
  <si>
    <t>TR345</t>
  </si>
  <si>
    <t>TR346</t>
  </si>
  <si>
    <t>TR348</t>
  </si>
  <si>
    <t>TR349</t>
  </si>
  <si>
    <t>TR351</t>
  </si>
  <si>
    <t>TR352</t>
  </si>
  <si>
    <t>TR353</t>
  </si>
  <si>
    <t>TR354</t>
  </si>
  <si>
    <t>TR355</t>
  </si>
  <si>
    <t>TR356</t>
  </si>
  <si>
    <t>TR357</t>
  </si>
  <si>
    <t>TR359</t>
  </si>
  <si>
    <t>TR360</t>
  </si>
  <si>
    <t>TR362</t>
  </si>
  <si>
    <t>TR364</t>
  </si>
  <si>
    <t>TR365</t>
  </si>
  <si>
    <t>TR367</t>
  </si>
  <si>
    <t>TR368</t>
  </si>
  <si>
    <t>TR370</t>
  </si>
  <si>
    <t>TR372</t>
  </si>
  <si>
    <t>TR373</t>
  </si>
  <si>
    <t>TR375</t>
  </si>
  <si>
    <t>TR376</t>
  </si>
  <si>
    <t>TR377</t>
  </si>
  <si>
    <t>TR379</t>
  </si>
  <si>
    <t>TR381</t>
  </si>
  <si>
    <t>TR383</t>
  </si>
  <si>
    <t>TR384</t>
  </si>
  <si>
    <t>TR385</t>
  </si>
  <si>
    <t>TR386</t>
  </si>
  <si>
    <t>TR388</t>
  </si>
  <si>
    <t>TR389</t>
  </si>
  <si>
    <t>TR390</t>
  </si>
  <si>
    <t>TR391</t>
  </si>
  <si>
    <t>TR392</t>
  </si>
  <si>
    <t>TR393</t>
  </si>
  <si>
    <t>TR394</t>
  </si>
  <si>
    <t>TR395</t>
  </si>
  <si>
    <t>TR397</t>
  </si>
  <si>
    <t>TR398</t>
  </si>
  <si>
    <t>TR399</t>
  </si>
  <si>
    <t>TR400</t>
  </si>
  <si>
    <t>TR401</t>
  </si>
  <si>
    <t>TR402</t>
  </si>
  <si>
    <t>TR404</t>
  </si>
  <si>
    <t>TR406</t>
  </si>
  <si>
    <t>TR408</t>
  </si>
  <si>
    <t>TR409</t>
  </si>
  <si>
    <t>TR410</t>
  </si>
  <si>
    <t>TR411</t>
  </si>
  <si>
    <t>TR412</t>
  </si>
  <si>
    <t>TR414</t>
  </si>
  <si>
    <t>TR416</t>
  </si>
  <si>
    <t>TR417</t>
  </si>
  <si>
    <t>TR418</t>
  </si>
  <si>
    <t>TR419</t>
  </si>
  <si>
    <t>TR421</t>
  </si>
  <si>
    <t>TR423</t>
  </si>
  <si>
    <t>TR424</t>
  </si>
  <si>
    <t>TR425</t>
  </si>
  <si>
    <t>TR427</t>
  </si>
  <si>
    <t>TR428</t>
  </si>
  <si>
    <t>TR429</t>
  </si>
  <si>
    <t>TR431</t>
  </si>
  <si>
    <t>TR432</t>
  </si>
  <si>
    <t>TR433</t>
  </si>
  <si>
    <t>TR434</t>
  </si>
  <si>
    <t>TR435</t>
  </si>
  <si>
    <t>TR437</t>
  </si>
  <si>
    <t>TR438</t>
  </si>
  <si>
    <t>TR439</t>
  </si>
  <si>
    <t>TR440</t>
  </si>
  <si>
    <t>TR441</t>
  </si>
  <si>
    <t>TR443</t>
  </si>
  <si>
    <t>TR445</t>
  </si>
  <si>
    <t>TR446</t>
  </si>
  <si>
    <t>TR448</t>
  </si>
  <si>
    <t>TR449</t>
  </si>
  <si>
    <t>TR450</t>
  </si>
  <si>
    <t>TR452</t>
  </si>
  <si>
    <t>TR454</t>
  </si>
  <si>
    <t>TR455</t>
  </si>
  <si>
    <t>TR456</t>
  </si>
  <si>
    <t>TR458</t>
  </si>
  <si>
    <t>TR459</t>
  </si>
  <si>
    <t>TR460</t>
  </si>
  <si>
    <t>TR461</t>
  </si>
  <si>
    <t>TR462</t>
  </si>
  <si>
    <t>TR464</t>
  </si>
  <si>
    <t>TR465</t>
  </si>
  <si>
    <t>TR466</t>
  </si>
  <si>
    <t>TR467</t>
  </si>
  <si>
    <t>TR468</t>
  </si>
  <si>
    <t>TR470</t>
  </si>
  <si>
    <t>TR472</t>
  </si>
  <si>
    <t>TR473</t>
  </si>
  <si>
    <t>TR474</t>
  </si>
  <si>
    <t>TR476</t>
  </si>
  <si>
    <t>TR478</t>
  </si>
  <si>
    <t>TR479</t>
  </si>
  <si>
    <t>TR480</t>
  </si>
  <si>
    <t>TR482</t>
  </si>
  <si>
    <t>TR483</t>
  </si>
  <si>
    <t>TR485</t>
  </si>
  <si>
    <t>TR487</t>
  </si>
  <si>
    <t>TR488</t>
  </si>
  <si>
    <t>TR489</t>
  </si>
  <si>
    <t>TR490</t>
  </si>
  <si>
    <t>TR491</t>
  </si>
  <si>
    <t>TR493</t>
  </si>
  <si>
    <t>TR495</t>
  </si>
  <si>
    <t>TR496</t>
  </si>
  <si>
    <t>TR497</t>
  </si>
  <si>
    <t>TR498</t>
  </si>
  <si>
    <t>Market_Cap</t>
  </si>
  <si>
    <t>PE_Ratio</t>
  </si>
  <si>
    <t>NA</t>
  </si>
  <si>
    <t>Benchmark_Return</t>
  </si>
  <si>
    <t>Item</t>
  </si>
  <si>
    <t>Action</t>
  </si>
  <si>
    <t>Scope / Result</t>
  </si>
  <si>
    <t>Original sheets</t>
  </si>
  <si>
    <t>Preserved unchanged</t>
  </si>
  <si>
    <t>Stock_Prices, Companies, Sectors remain as provided.</t>
  </si>
  <si>
    <t>Standardized representation</t>
  </si>
  <si>
    <t>Known date formats converted to Excel dates with yyyy-mm-dd display; blanks preserved.</t>
  </si>
  <si>
    <t>Standardized text casing</t>
  </si>
  <si>
    <t>AUTO → Auto; ENERGY → Energy; BANKING → Banking; blanks preserved.</t>
  </si>
  <si>
    <t>Standardized equivalent notation</t>
  </si>
  <si>
    <t>500K → 500000; other numeric values unchanged; blanks preserved.</t>
  </si>
  <si>
    <t>No changes</t>
  </si>
  <si>
    <t>Identifiers were not renamed, deduplicated, or deleted.</t>
  </si>
  <si>
    <t>Ticker / Company</t>
  </si>
  <si>
    <t>No value changes</t>
  </si>
  <si>
    <t>Existing identifiers/names retained.</t>
  </si>
  <si>
    <t>Missing financial fields</t>
  </si>
  <si>
    <t>Preserved</t>
  </si>
  <si>
    <t>Blank Open/High/Low/Close values were not imputed.</t>
  </si>
  <si>
    <t>Data records</t>
  </si>
  <si>
    <t>No rows were deleted or deduplicated.</t>
  </si>
  <si>
    <t>Cleaned outputs</t>
  </si>
  <si>
    <t>Created separately</t>
  </si>
  <si>
    <t>Cleaned_Stock_Prices, Cleaned_Companies, Cleaned_Sectors.</t>
  </si>
  <si>
    <t>Return</t>
  </si>
  <si>
    <t>STOCK MARKET ANALYTICS DASHBOARD</t>
  </si>
  <si>
    <t>MARKET CAP</t>
  </si>
  <si>
    <t>AVERAGE RETURN</t>
  </si>
  <si>
    <t>VOLATILITY</t>
  </si>
  <si>
    <t>TRADING VOLUME</t>
  </si>
  <si>
    <t>KPI CARDS</t>
  </si>
  <si>
    <t>Row Labels</t>
  </si>
  <si>
    <t>Grand Total</t>
  </si>
  <si>
    <t>Average of Return</t>
  </si>
  <si>
    <t>Sum of Volume</t>
  </si>
  <si>
    <t>&lt;01-01-2026</t>
  </si>
  <si>
    <t>Jan</t>
  </si>
  <si>
    <t>Feb</t>
  </si>
  <si>
    <t>Mar</t>
  </si>
  <si>
    <t>Closing Price by Date</t>
  </si>
  <si>
    <t>Average of Close</t>
  </si>
  <si>
    <t>AVERAGE RETURN BY STOCK</t>
  </si>
  <si>
    <t>Trading Volume by Stock</t>
  </si>
  <si>
    <t>SLICERS</t>
  </si>
  <si>
    <t>TIMELINE</t>
  </si>
  <si>
    <t>STOCK PERFORMANCE ANALYSIS</t>
  </si>
  <si>
    <t>Metric</t>
  </si>
  <si>
    <t>Stock</t>
  </si>
  <si>
    <t>Average Return</t>
  </si>
  <si>
    <t>Top Performing Stock</t>
  </si>
  <si>
    <t>Worst Performing Stock</t>
  </si>
  <si>
    <t>RETURN BY SECTOR</t>
  </si>
  <si>
    <t>SECTOR PERFORMANCE ANALYSIS</t>
  </si>
  <si>
    <t>Top Performing Sector</t>
  </si>
  <si>
    <t>Worst Performing Sector</t>
  </si>
  <si>
    <t>KEY FINDINGS</t>
  </si>
  <si>
    <t>Stock Analysis</t>
  </si>
  <si>
    <t>TCS recorded the highest average return at 109.11%, while HDFCBANK recorded the lowest at -17.11%.</t>
  </si>
  <si>
    <t>Sector Analysis</t>
  </si>
  <si>
    <t>IT recorded the highest average sector return at 82.75%, while Banking recorded the lowest at -17.11%.</t>
  </si>
  <si>
    <t>Prompt Type</t>
  </si>
  <si>
    <t>Prompt</t>
  </si>
  <si>
    <t>Investment Insights</t>
  </si>
  <si>
    <t>Analyze the following stock market summary and provide objective investment insights. Market Cap: 16,15,659; Average Return: 19.82%; Volatility: 0.8433; Trading Volume: 11,36,50,000. Top-performing stock: TCS (109.11%). Worst-performing stock: HDFCBANK (-17.11%). Top-performing sector: IT (82.75%). Worst-performing sector: Banking (-17.11%). Identify key performance patterns, possible risk factors, and areas that require further investigation. Do not make a personalized buy/sell recommendation.</t>
  </si>
  <si>
    <t>Stock Performance Analysis</t>
  </si>
  <si>
    <t>Analyze the performance of TCS, INFY, RELIANCE, TATAMOTORS, and HDFCBANK using their average returns of 109.11%, 64.94%, -1.15%, -16.11%, and -17.11% respectively. Explain the differences in performance and identify notable positive and negative patterns without making personalized investment recommendations.</t>
  </si>
  <si>
    <t>Sector Performance Analysis</t>
  </si>
  <si>
    <t>Analyze the sector-level average returns: Auto -16.11%, Banking -17.11%, Energy -1.15%, and IT 82.75%. Explain the performance differences, identify concentration or diversification considerations, and highlight areas that may require further investigation. Do not provide a personalized buy/sell recommendation.</t>
  </si>
  <si>
    <t>Risk Summary</t>
  </si>
  <si>
    <t>Prepare an objective risk summary using the following metrics: Average Return 19.82%, Volatility 0.8433, Trading Volume 11,36,50,000, worst-performing stock HDFCBANK -17.11%, and worst-performing sector Banking -17.11%. Identify market, stock-level, sector-level, volatility, and data-quality risks. Do not make personalized investment recommendations.</t>
  </si>
  <si>
    <t>Executive Summary</t>
  </si>
  <si>
    <t>Prepare a concise executive summary of the stock market analysis covering overall market performance, top and bottom stocks, top and bottom sectors, trading activity, volatility, key risks, and areas requiring further analysis. Use only the provided figures and avoid personalized investment advice.</t>
  </si>
  <si>
    <t>AI-GENERATED INVESTMENT INSIGHTS</t>
  </si>
  <si>
    <t>Overall Market Insight</t>
  </si>
  <si>
    <t>The dataset shows an overall average return of 19.82%. Performance is uneven across stocks and sectors, with substantial differences between positive and negative performers.</t>
  </si>
  <si>
    <t>Stock Insight</t>
  </si>
  <si>
    <t>TCS recorded the highest average return at 109.11%, followed by INFY at 64.94%. RELIANCE recorded -1.15%, while TATAMOTORS and HDFCBANK recorded -16.11% and -17.11% respectively.</t>
  </si>
  <si>
    <t>Sector Insight</t>
  </si>
  <si>
    <t>IT recorded the highest average sector return at 82.75%. Energy recorded -1.15%, while Auto and Banking recorded -16.11% and -17.11% respectively. The sector results indicate significant variation in performance across the dataset.</t>
  </si>
  <si>
    <t>Trading Activity</t>
  </si>
  <si>
    <t>Total trading volume is 113,650,000. Trading volume varies considerably across the stocks, indicating differences in trading activity within the dataset.</t>
  </si>
  <si>
    <t>The reported return volatility is approximately 0.8433, equivalent to about 84.33% when expressed as a percentage. This indicates substantial dispersion in the observed stock returns.</t>
  </si>
  <si>
    <t>Key Risk Factors</t>
  </si>
  <si>
    <t>High variation in stock returns, negative performance in some stocks and sectors, and the relatively high return volatility represent important analytical risk factors. These figures should be interpreted together rather than using return alone.</t>
  </si>
  <si>
    <t>Data Quality Risk</t>
  </si>
  <si>
    <t>The dataset contains historical cleaned records and originally contained missing values, inconsistent sector formatting, and mixed volume formats. Extreme return observations should therefore be investigated before using the analysis for real-world investment decisions.</t>
  </si>
  <si>
    <t>Interpretation</t>
  </si>
  <si>
    <t>The analysis identifies performance patterns in the provided dataset but does not establish future performance. Further analysis using a longer time period, benchmark comparison, and additional risk measures would be required for a complete investment assessment.</t>
  </si>
  <si>
    <t>AI Disclaimer</t>
  </si>
  <si>
    <t>This analysis is for academic and analytical purposes only and is not personalized financial advice or a recommendation to buy or sell any security.</t>
  </si>
  <si>
    <t>EXECUTIVE INVESTMENT REPORT</t>
  </si>
  <si>
    <t>Section</t>
  </si>
  <si>
    <t>Analysis</t>
  </si>
  <si>
    <t>Executive Overview</t>
  </si>
  <si>
    <t>This report summarizes the stock-market dataset using return, volatility, trading volume, company information, and sector-level performance.</t>
  </si>
  <si>
    <t>Market Snapshot</t>
  </si>
  <si>
    <t>Market Cap: 1615659; Average Return: 19.82%; Volatility: 84.33%; Trading Volume: 113650000</t>
  </si>
  <si>
    <t>TCS recorded the highest average return at 109.11%.</t>
  </si>
  <si>
    <t>Lowest Performing Stock</t>
  </si>
  <si>
    <t>HDFCBANK recorded the lowest average return at -17.11%.</t>
  </si>
  <si>
    <t>IT recorded the highest average sector return at 82.75%.</t>
  </si>
  <si>
    <t>Lowest Performing Sector</t>
  </si>
  <si>
    <t>Banking recorded the lowest average sector return at -17.11%.</t>
  </si>
  <si>
    <t>Total trading volume across the dataset was 113650000, with trading activity varying across individual stocks.</t>
  </si>
  <si>
    <t>Risk Overview</t>
  </si>
  <si>
    <t>Return volatility is approximately 84.33%, indicating substantial variation in observed returns. Negative returns were observed for HDFCBANK, TATAMOTORS, and RELIANCE.</t>
  </si>
  <si>
    <t>Key Observations</t>
  </si>
  <si>
    <t>The dataset shows a wide performance gap between stocks and sectors. IT and TCS show the highest observed returns, while Banking and HDFCBANK show the lowest observed returns.</t>
  </si>
  <si>
    <t>Data Considerations</t>
  </si>
  <si>
    <t>The analysis is based on the cleaned historical dataset. Extreme return observations and data-quality issues should be investigated further before drawing real-world conclusions.</t>
  </si>
  <si>
    <t>Further Analysis</t>
  </si>
  <si>
    <t>Longer historical periods, benchmark comparison, additional volatility measures, and fundamental analysis would provide a more complete investment assessment.</t>
  </si>
  <si>
    <t>Conclusion</t>
  </si>
  <si>
    <t>The dashboard provides a consolidated view of market performance, stock performance, sector performance, trading activity, and risk indicators. The results describe the provided dataset and should not be interpreted as personalized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</si>
</sst>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color theme="1"/>
      <name val="Calibri"/>
      <family val="2"/>
      <scheme val="minor"/>
    </font>
    <font>
      <b/>
      <sz val="11"/>
      <color rgb="FFFFFFFF"/>
      <name val="Calibri"/>
    </font>
    <font>
      <b/>
      <sz val="11"/>
      <color theme="1"/>
      <name val="Calibri"/>
      <family val="2"/>
      <scheme val="minor"/>
    </font>
    <font>
      <b/>
      <sz val="16"/>
      <color theme="1"/>
      <name val="Calibri"/>
      <family val="2"/>
      <scheme val="minor"/>
    </font>
    <font>
      <b/>
      <sz val="20"/>
      <color theme="1"/>
      <name val="Calibri"/>
      <family val="2"/>
      <scheme val="minor"/>
    </font>
    <font>
      <b/>
      <sz val="10"/>
      <color theme="1"/>
      <name val="Arial Unicode MS"/>
    </font>
    <font>
      <b/>
      <sz val="12"/>
      <color theme="1"/>
      <name val="Calibri"/>
      <family val="2"/>
      <scheme val="minor"/>
    </font>
    <font>
      <b/>
      <sz val="18"/>
      <color theme="1"/>
      <name val="Calibri"/>
      <family val="2"/>
      <scheme val="minor"/>
    </font>
    <font>
      <b/>
      <sz val="14"/>
      <color theme="1"/>
      <name val="Arial Unicode MS"/>
    </font>
  </fonts>
  <fills count="3">
    <fill>
      <patternFill patternType="none"/>
    </fill>
    <fill>
      <patternFill patternType="gray125"/>
    </fill>
    <fill>
      <patternFill patternType="solid">
        <fgColor rgb="FF1F4E78"/>
      </patternFill>
    </fill>
  </fills>
  <borders count="10">
    <border>
      <left/>
      <right/>
      <top/>
      <bottom/>
      <diagonal/>
    </border>
    <border>
      <left/>
      <right/>
      <top/>
      <bottom style="thin">
        <color rgb="FFD9E1F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3">
    <xf numFmtId="0" fontId="0" fillId="0" borderId="0" xfId="0"/>
    <xf numFmtId="0" fontId="1" fillId="2" borderId="1" xfId="0" applyFont="1" applyFill="1" applyBorder="1" applyAlignment="1">
      <alignment horizontal="center" vertical="center"/>
    </xf>
    <xf numFmtId="164" fontId="0" fillId="0" borderId="0" xfId="0" applyNumberFormat="1"/>
    <xf numFmtId="3" fontId="0" fillId="0" borderId="0" xfId="0" applyNumberFormat="1"/>
    <xf numFmtId="2" fontId="0" fillId="0" borderId="0" xfId="0" applyNumberFormat="1"/>
    <xf numFmtId="0" fontId="1" fillId="2" borderId="0" xfId="0" applyFont="1" applyFill="1" applyAlignment="1">
      <alignment vertical="top" wrapText="1"/>
    </xf>
    <xf numFmtId="0" fontId="0" fillId="0" borderId="0" xfId="0" applyAlignment="1">
      <alignment vertical="top" wrapText="1"/>
    </xf>
    <xf numFmtId="10" fontId="0" fillId="0" borderId="0" xfId="0" applyNumberFormat="1"/>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4" fillId="0" borderId="0" xfId="0" applyFont="1" applyAlignment="1">
      <alignment horizontal="center"/>
    </xf>
    <xf numFmtId="0" fontId="2" fillId="0" borderId="5" xfId="0" applyFont="1" applyBorder="1" applyAlignment="1">
      <alignment horizontal="center" vertical="center"/>
    </xf>
    <xf numFmtId="0" fontId="2" fillId="0" borderId="0" xfId="0" applyFont="1" applyAlignment="1">
      <alignment horizontal="center" vertical="center"/>
    </xf>
    <xf numFmtId="3" fontId="0" fillId="0" borderId="7" xfId="0" applyNumberFormat="1" applyBorder="1" applyAlignment="1">
      <alignment horizontal="center"/>
    </xf>
    <xf numFmtId="3" fontId="0" fillId="0" borderId="8" xfId="0" applyNumberFormat="1" applyBorder="1" applyAlignment="1">
      <alignment horizontal="center"/>
    </xf>
    <xf numFmtId="0" fontId="2" fillId="0" borderId="6" xfId="0" applyFont="1" applyBorder="1" applyAlignment="1">
      <alignment horizontal="center" vertical="center"/>
    </xf>
    <xf numFmtId="3" fontId="0" fillId="0" borderId="9" xfId="0" applyNumberFormat="1" applyBorder="1" applyAlignment="1">
      <alignment horizontal="center"/>
    </xf>
    <xf numFmtId="0" fontId="0" fillId="0" borderId="8" xfId="0" applyBorder="1" applyAlignment="1">
      <alignment horizontal="center"/>
    </xf>
    <xf numFmtId="10" fontId="0" fillId="0" borderId="8" xfId="0" applyNumberForma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 fillId="0" borderId="2" xfId="0" applyFont="1" applyBorder="1" applyAlignment="1">
      <alignment horizontal="center"/>
    </xf>
    <xf numFmtId="0" fontId="2" fillId="0" borderId="4" xfId="0" applyFont="1" applyBorder="1" applyAlignment="1">
      <alignment horizontal="center"/>
    </xf>
    <xf numFmtId="0" fontId="0" fillId="0" borderId="5" xfId="0" pivotButton="1" applyBorder="1"/>
    <xf numFmtId="0" fontId="0" fillId="0" borderId="5" xfId="0" applyBorder="1" applyAlignment="1">
      <alignment horizontal="left"/>
    </xf>
    <xf numFmtId="10" fontId="0" fillId="0" borderId="6" xfId="0" applyNumberFormat="1" applyBorder="1"/>
    <xf numFmtId="0" fontId="0" fillId="0" borderId="7" xfId="0" applyBorder="1" applyAlignment="1">
      <alignment horizontal="left"/>
    </xf>
    <xf numFmtId="10" fontId="0" fillId="0" borderId="9" xfId="0" applyNumberFormat="1" applyBorder="1"/>
    <xf numFmtId="10" fontId="0" fillId="0" borderId="0" xfId="0" applyNumberFormat="1" applyBorder="1"/>
    <xf numFmtId="0" fontId="0" fillId="0" borderId="6" xfId="0" applyNumberFormat="1" applyBorder="1"/>
    <xf numFmtId="10" fontId="0" fillId="0" borderId="8" xfId="0" applyNumberFormat="1" applyBorder="1"/>
    <xf numFmtId="0" fontId="0" fillId="0" borderId="9" xfId="0" applyNumberFormat="1" applyBorder="1"/>
    <xf numFmtId="0" fontId="0" fillId="0" borderId="5" xfId="0" applyBorder="1" applyAlignment="1">
      <alignment horizontal="center"/>
    </xf>
    <xf numFmtId="0" fontId="0" fillId="0" borderId="6" xfId="0" applyBorder="1" applyAlignment="1">
      <alignment horizontal="center"/>
    </xf>
    <xf numFmtId="0" fontId="6" fillId="0" borderId="0" xfId="0" applyFont="1" applyAlignment="1">
      <alignment horizontal="center"/>
    </xf>
    <xf numFmtId="3" fontId="0" fillId="0" borderId="0" xfId="0" applyNumberFormat="1" applyBorder="1" applyAlignment="1">
      <alignment horizontal="center"/>
    </xf>
    <xf numFmtId="3" fontId="2" fillId="0" borderId="2" xfId="0" applyNumberFormat="1" applyFont="1" applyBorder="1" applyAlignment="1">
      <alignment horizontal="center"/>
    </xf>
    <xf numFmtId="3" fontId="2" fillId="0" borderId="4" xfId="0" applyNumberFormat="1" applyFont="1" applyBorder="1" applyAlignment="1">
      <alignment horizont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0" fillId="0" borderId="5"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2" fillId="0" borderId="0" xfId="0" applyFont="1" applyBorder="1" applyAlignment="1">
      <alignment horizontal="center" vertical="center"/>
    </xf>
    <xf numFmtId="10"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0" fontId="0" fillId="0" borderId="9" xfId="0" applyNumberFormat="1" applyBorder="1" applyAlignment="1">
      <alignment horizontal="center" vertical="center"/>
    </xf>
    <xf numFmtId="0" fontId="0" fillId="0" borderId="5" xfId="0" applyBorder="1" applyAlignment="1">
      <alignment horizontal="center"/>
    </xf>
    <xf numFmtId="0" fontId="0" fillId="0" borderId="0" xfId="0" applyBorder="1" applyAlignment="1">
      <alignment horizontal="left"/>
    </xf>
    <xf numFmtId="0" fontId="0" fillId="0" borderId="6" xfId="0" applyBorder="1" applyAlignment="1">
      <alignment horizontal="left"/>
    </xf>
    <xf numFmtId="0" fontId="0" fillId="0" borderId="7" xfId="0" applyBorder="1" applyAlignment="1">
      <alignment horizont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0" xfId="0" applyAlignment="1">
      <alignment wrapText="1"/>
    </xf>
    <xf numFmtId="0" fontId="8" fillId="0" borderId="0" xfId="0" applyFont="1" applyAlignment="1">
      <alignment horizontal="center" wrapText="1"/>
    </xf>
    <xf numFmtId="0" fontId="6" fillId="0" borderId="0" xfId="0" applyFont="1" applyAlignment="1">
      <alignment horizontal="center" vertical="center" wrapText="1"/>
    </xf>
  </cellXfs>
  <cellStyles count="1">
    <cellStyle name="Normal" xfId="0" builtinId="0"/>
  </cellStyles>
  <dxfs count="43">
    <dxf>
      <numFmt numFmtId="14" formatCode="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outline="0">
        <bottom style="thin">
          <color rgb="FFD9E1F2"/>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0" indent="0" justifyLastLine="0" shrinkToFit="0" readingOrder="0"/>
    </dxf>
    <dxf>
      <numFmt numFmtId="2" formatCode="0.00"/>
    </dxf>
    <dxf>
      <numFmt numFmtId="3" formatCode="#,##0"/>
    </dxf>
    <dxf>
      <border outline="0">
        <bottom style="thin">
          <color rgb="FFD9E1F2"/>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0" indent="0" justifyLastLine="0" shrinkToFit="0" readingOrder="0"/>
    </dxf>
    <dxf>
      <numFmt numFmtId="0" formatCode="General"/>
    </dxf>
    <dxf>
      <numFmt numFmtId="3" formatCode="#,##0"/>
    </dxf>
    <dxf>
      <numFmt numFmtId="3" formatCode="#,##0"/>
    </dxf>
    <dxf>
      <numFmt numFmtId="3" formatCode="#,##0"/>
    </dxf>
    <dxf>
      <numFmt numFmtId="3" formatCode="#,##0"/>
    </dxf>
    <dxf>
      <numFmt numFmtId="3" formatCode="#,##0"/>
    </dxf>
    <dxf>
      <numFmt numFmtId="164" formatCode="yyyy\-mm\-dd"/>
    </dxf>
    <dxf>
      <border outline="0">
        <bottom style="thin">
          <color rgb="FFD9E1F2"/>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0" indent="0" justifyLastLine="0" shrinkToFit="0" readingOrder="0"/>
    </dxf>
    <dxf>
      <numFmt numFmtId="14" formatCode="0.00%"/>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[Module_12_Capstone_Evaluation_Assignment_(Stock_Market_Analytics)_SHAGANPREET_KAUR.xlsx]EXECUTIVE DAHSBOARD!PivotTable1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 DAHSBOARD'!$B$9</c:f>
              <c:strCache>
                <c:ptCount val="1"/>
                <c:pt idx="0">
                  <c:v>Total</c:v>
                </c:pt>
              </c:strCache>
            </c:strRef>
          </c:tx>
          <c:spPr>
            <a:solidFill>
              <a:schemeClr val="accent1"/>
            </a:solidFill>
            <a:ln>
              <a:noFill/>
            </a:ln>
            <a:effectLst/>
          </c:spPr>
          <c:invertIfNegative val="0"/>
          <c:cat>
            <c:strRef>
              <c:f>'EXECUTIVE DAHSBOARD'!$A$10:$A$15</c:f>
              <c:strCache>
                <c:ptCount val="5"/>
                <c:pt idx="0">
                  <c:v>HDFCBANK</c:v>
                </c:pt>
                <c:pt idx="1">
                  <c:v>INFY</c:v>
                </c:pt>
                <c:pt idx="2">
                  <c:v>RELIANCE</c:v>
                </c:pt>
                <c:pt idx="3">
                  <c:v>TATAMOTORS</c:v>
                </c:pt>
                <c:pt idx="4">
                  <c:v>TCS</c:v>
                </c:pt>
              </c:strCache>
            </c:strRef>
          </c:cat>
          <c:val>
            <c:numRef>
              <c:f>'EXECUTIVE DAHSBOARD'!$B$10:$B$15</c:f>
              <c:numCache>
                <c:formatCode>0.00%</c:formatCode>
                <c:ptCount val="5"/>
                <c:pt idx="0">
                  <c:v>-0.1711430817403517</c:v>
                </c:pt>
                <c:pt idx="1">
                  <c:v>0.64935093931572818</c:v>
                </c:pt>
                <c:pt idx="2">
                  <c:v>-1.1476548913617133E-2</c:v>
                </c:pt>
                <c:pt idx="3">
                  <c:v>-0.16109777620342774</c:v>
                </c:pt>
                <c:pt idx="4">
                  <c:v>1.0910974943466798</c:v>
                </c:pt>
              </c:numCache>
            </c:numRef>
          </c:val>
          <c:extLst>
            <c:ext xmlns:c16="http://schemas.microsoft.com/office/drawing/2014/chart" uri="{C3380CC4-5D6E-409C-BE32-E72D297353CC}">
              <c16:uniqueId val="{00000000-3A81-4390-B940-B55D11B55705}"/>
            </c:ext>
          </c:extLst>
        </c:ser>
        <c:dLbls>
          <c:showLegendKey val="0"/>
          <c:showVal val="0"/>
          <c:showCatName val="0"/>
          <c:showSerName val="0"/>
          <c:showPercent val="0"/>
          <c:showBubbleSize val="0"/>
        </c:dLbls>
        <c:gapWidth val="219"/>
        <c:overlap val="-27"/>
        <c:axId val="1693442127"/>
        <c:axId val="1572316271"/>
      </c:barChart>
      <c:catAx>
        <c:axId val="169344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16271"/>
        <c:crosses val="autoZero"/>
        <c:auto val="1"/>
        <c:lblAlgn val="ctr"/>
        <c:lblOffset val="100"/>
        <c:noMultiLvlLbl val="0"/>
      </c:catAx>
      <c:valAx>
        <c:axId val="15723162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4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[Module_12_Capstone_Evaluation_Assignment_(Stock_Market_Analytics)_SHAGANPREET_KAUR.xlsx]EXECUTIVE DAHSBOARD!PivotTable2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 DAHSBOARD'!$D$9</c:f>
              <c:strCache>
                <c:ptCount val="1"/>
                <c:pt idx="0">
                  <c:v>Average of Return</c:v>
                </c:pt>
              </c:strCache>
            </c:strRef>
          </c:tx>
          <c:spPr>
            <a:solidFill>
              <a:schemeClr val="accent1"/>
            </a:solidFill>
            <a:ln>
              <a:noFill/>
            </a:ln>
            <a:effectLst/>
          </c:spPr>
          <c:invertIfNegative val="0"/>
          <c:cat>
            <c:strRef>
              <c:f>'EXECUTIVE DAHSBOARD'!$C$10:$C$15</c:f>
              <c:strCache>
                <c:ptCount val="5"/>
                <c:pt idx="0">
                  <c:v>HDFCBANK</c:v>
                </c:pt>
                <c:pt idx="1">
                  <c:v>INFY</c:v>
                </c:pt>
                <c:pt idx="2">
                  <c:v>RELIANCE</c:v>
                </c:pt>
                <c:pt idx="3">
                  <c:v>TATAMOTORS</c:v>
                </c:pt>
                <c:pt idx="4">
                  <c:v>TCS</c:v>
                </c:pt>
              </c:strCache>
            </c:strRef>
          </c:cat>
          <c:val>
            <c:numRef>
              <c:f>'EXECUTIVE DAHSBOARD'!$D$10:$D$15</c:f>
              <c:numCache>
                <c:formatCode>0.00%</c:formatCode>
                <c:ptCount val="5"/>
                <c:pt idx="0">
                  <c:v>-0.1711430817403517</c:v>
                </c:pt>
                <c:pt idx="1">
                  <c:v>0.64935093931572818</c:v>
                </c:pt>
                <c:pt idx="2">
                  <c:v>-1.1476548913617133E-2</c:v>
                </c:pt>
                <c:pt idx="3">
                  <c:v>-0.16109777620342774</c:v>
                </c:pt>
                <c:pt idx="4">
                  <c:v>1.0910974943466798</c:v>
                </c:pt>
              </c:numCache>
            </c:numRef>
          </c:val>
          <c:extLst>
            <c:ext xmlns:c16="http://schemas.microsoft.com/office/drawing/2014/chart" uri="{C3380CC4-5D6E-409C-BE32-E72D297353CC}">
              <c16:uniqueId val="{00000000-F4D3-4F14-8FE8-4393761DBC7A}"/>
            </c:ext>
          </c:extLst>
        </c:ser>
        <c:ser>
          <c:idx val="1"/>
          <c:order val="1"/>
          <c:tx>
            <c:strRef>
              <c:f>'EXECUTIVE DAHSBOARD'!$E$9</c:f>
              <c:strCache>
                <c:ptCount val="1"/>
                <c:pt idx="0">
                  <c:v>Sum of Volume</c:v>
                </c:pt>
              </c:strCache>
            </c:strRef>
          </c:tx>
          <c:spPr>
            <a:solidFill>
              <a:schemeClr val="accent2"/>
            </a:solidFill>
            <a:ln>
              <a:noFill/>
            </a:ln>
            <a:effectLst/>
          </c:spPr>
          <c:invertIfNegative val="0"/>
          <c:cat>
            <c:strRef>
              <c:f>'EXECUTIVE DAHSBOARD'!$C$10:$C$15</c:f>
              <c:strCache>
                <c:ptCount val="5"/>
                <c:pt idx="0">
                  <c:v>HDFCBANK</c:v>
                </c:pt>
                <c:pt idx="1">
                  <c:v>INFY</c:v>
                </c:pt>
                <c:pt idx="2">
                  <c:v>RELIANCE</c:v>
                </c:pt>
                <c:pt idx="3">
                  <c:v>TATAMOTORS</c:v>
                </c:pt>
                <c:pt idx="4">
                  <c:v>TCS</c:v>
                </c:pt>
              </c:strCache>
            </c:strRef>
          </c:cat>
          <c:val>
            <c:numRef>
              <c:f>'EXECUTIVE DAHSBOARD'!$E$10:$E$15</c:f>
              <c:numCache>
                <c:formatCode>General</c:formatCode>
                <c:ptCount val="5"/>
                <c:pt idx="0">
                  <c:v>26250000</c:v>
                </c:pt>
                <c:pt idx="1">
                  <c:v>22600000</c:v>
                </c:pt>
                <c:pt idx="2">
                  <c:v>23150000</c:v>
                </c:pt>
                <c:pt idx="3">
                  <c:v>23400000</c:v>
                </c:pt>
                <c:pt idx="4">
                  <c:v>18250000</c:v>
                </c:pt>
              </c:numCache>
            </c:numRef>
          </c:val>
          <c:extLst>
            <c:ext xmlns:c16="http://schemas.microsoft.com/office/drawing/2014/chart" uri="{C3380CC4-5D6E-409C-BE32-E72D297353CC}">
              <c16:uniqueId val="{00000001-F4D3-4F14-8FE8-4393761DBC7A}"/>
            </c:ext>
          </c:extLst>
        </c:ser>
        <c:dLbls>
          <c:showLegendKey val="0"/>
          <c:showVal val="0"/>
          <c:showCatName val="0"/>
          <c:showSerName val="0"/>
          <c:showPercent val="0"/>
          <c:showBubbleSize val="0"/>
        </c:dLbls>
        <c:gapWidth val="219"/>
        <c:overlap val="-27"/>
        <c:axId val="1715465936"/>
        <c:axId val="1669908912"/>
      </c:barChart>
      <c:catAx>
        <c:axId val="17154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08912"/>
        <c:crosses val="autoZero"/>
        <c:auto val="1"/>
        <c:lblAlgn val="ctr"/>
        <c:lblOffset val="100"/>
        <c:noMultiLvlLbl val="0"/>
      </c:catAx>
      <c:valAx>
        <c:axId val="1669908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6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[Module_12_Capstone_Evaluation_Assignment_(Stock_Market_Analytics)_SHAGANPREET_KAUR.xlsx]EXECUTIVE DAHSBOARD!PivotTable3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 DAHSBOARD'!$G$9</c:f>
              <c:strCache>
                <c:ptCount val="1"/>
                <c:pt idx="0">
                  <c:v>Total</c:v>
                </c:pt>
              </c:strCache>
            </c:strRef>
          </c:tx>
          <c:spPr>
            <a:solidFill>
              <a:schemeClr val="accent1"/>
            </a:solidFill>
            <a:ln>
              <a:noFill/>
            </a:ln>
            <a:effectLst/>
          </c:spPr>
          <c:invertIfNegative val="0"/>
          <c:cat>
            <c:strRef>
              <c:f>'EXECUTIVE DAHSBOARD'!$F$10:$F$14</c:f>
              <c:strCache>
                <c:ptCount val="4"/>
                <c:pt idx="0">
                  <c:v>&lt;01-01-2026</c:v>
                </c:pt>
                <c:pt idx="1">
                  <c:v>Jan</c:v>
                </c:pt>
                <c:pt idx="2">
                  <c:v>Feb</c:v>
                </c:pt>
                <c:pt idx="3">
                  <c:v>Mar</c:v>
                </c:pt>
              </c:strCache>
            </c:strRef>
          </c:cat>
          <c:val>
            <c:numRef>
              <c:f>'EXECUTIVE DAHSBOARD'!$G$10:$G$14</c:f>
              <c:numCache>
                <c:formatCode>General</c:formatCode>
                <c:ptCount val="4"/>
                <c:pt idx="0">
                  <c:v>2195.4470588235295</c:v>
                </c:pt>
                <c:pt idx="1">
                  <c:v>2249.6105263157897</c:v>
                </c:pt>
                <c:pt idx="2">
                  <c:v>2602.3837209302324</c:v>
                </c:pt>
                <c:pt idx="3">
                  <c:v>2415.12</c:v>
                </c:pt>
              </c:numCache>
            </c:numRef>
          </c:val>
          <c:extLst>
            <c:ext xmlns:c16="http://schemas.microsoft.com/office/drawing/2014/chart" uri="{C3380CC4-5D6E-409C-BE32-E72D297353CC}">
              <c16:uniqueId val="{00000000-2737-413A-9970-2588CD386B04}"/>
            </c:ext>
          </c:extLst>
        </c:ser>
        <c:dLbls>
          <c:showLegendKey val="0"/>
          <c:showVal val="0"/>
          <c:showCatName val="0"/>
          <c:showSerName val="0"/>
          <c:showPercent val="0"/>
          <c:showBubbleSize val="0"/>
        </c:dLbls>
        <c:gapWidth val="219"/>
        <c:overlap val="-27"/>
        <c:axId val="1670377632"/>
        <c:axId val="1669863792"/>
      </c:barChart>
      <c:catAx>
        <c:axId val="16703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863792"/>
        <c:crosses val="autoZero"/>
        <c:auto val="1"/>
        <c:lblAlgn val="ctr"/>
        <c:lblOffset val="100"/>
        <c:noMultiLvlLbl val="0"/>
      </c:catAx>
      <c:valAx>
        <c:axId val="166986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37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18</xdr:row>
      <xdr:rowOff>3810</xdr:rowOff>
    </xdr:from>
    <xdr:to>
      <xdr:col>1</xdr:col>
      <xdr:colOff>2012674</xdr:colOff>
      <xdr:row>32</xdr:row>
      <xdr:rowOff>157370</xdr:rowOff>
    </xdr:to>
    <xdr:graphicFrame macro="">
      <xdr:nvGraphicFramePr>
        <xdr:cNvPr id="2" name="Chart 1">
          <a:extLst>
            <a:ext uri="{FF2B5EF4-FFF2-40B4-BE49-F238E27FC236}">
              <a16:creationId xmlns:a16="http://schemas.microsoft.com/office/drawing/2014/main" id="{E1A4A06C-46B0-7D91-AF1A-DDDF723FB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33130</xdr:colOff>
      <xdr:row>18</xdr:row>
      <xdr:rowOff>33131</xdr:rowOff>
    </xdr:from>
    <xdr:to>
      <xdr:col>4</xdr:col>
      <xdr:colOff>1764195</xdr:colOff>
      <xdr:row>32</xdr:row>
      <xdr:rowOff>173936</xdr:rowOff>
    </xdr:to>
    <xdr:graphicFrame macro="">
      <xdr:nvGraphicFramePr>
        <xdr:cNvPr id="3" name="Chart 2">
          <a:extLst>
            <a:ext uri="{FF2B5EF4-FFF2-40B4-BE49-F238E27FC236}">
              <a16:creationId xmlns:a16="http://schemas.microsoft.com/office/drawing/2014/main" id="{49E96EEF-ED6B-AD3D-F754-2A71A5725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49694</xdr:colOff>
      <xdr:row>18</xdr:row>
      <xdr:rowOff>8284</xdr:rowOff>
    </xdr:from>
    <xdr:to>
      <xdr:col>6</xdr:col>
      <xdr:colOff>1813892</xdr:colOff>
      <xdr:row>32</xdr:row>
      <xdr:rowOff>149087</xdr:rowOff>
    </xdr:to>
    <xdr:graphicFrame macro="">
      <xdr:nvGraphicFramePr>
        <xdr:cNvPr id="4" name="Chart 3">
          <a:extLst>
            <a:ext uri="{FF2B5EF4-FFF2-40B4-BE49-F238E27FC236}">
              <a16:creationId xmlns:a16="http://schemas.microsoft.com/office/drawing/2014/main" id="{D9698BFB-EC1B-D844-1666-71F3D5BBE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33130</xdr:colOff>
      <xdr:row>36</xdr:row>
      <xdr:rowOff>3644</xdr:rowOff>
    </xdr:from>
    <xdr:to>
      <xdr:col>1</xdr:col>
      <xdr:colOff>861390</xdr:colOff>
      <xdr:row>49</xdr:row>
      <xdr:rowOff>93510</xdr:rowOff>
    </xdr:to>
    <mc:AlternateContent xmlns:mc="http://schemas.openxmlformats.org/markup-compatibility/2006">
      <mc:Choice xmlns:a14="http://schemas.microsoft.com/office/drawing/2010/main" Requires="a14">
        <xdr:graphicFrame macro="">
          <xdr:nvGraphicFramePr>
            <xdr:cNvPr id="5" name="Ticker">
              <a:extLst>
                <a:ext uri="{FF2B5EF4-FFF2-40B4-BE49-F238E27FC236}">
                  <a16:creationId xmlns:a16="http://schemas.microsoft.com/office/drawing/2014/main" id="{310224E9-92CC-BD4C-3F59-981CC35D2C27}"/>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dr:sp macro="" textlink="">
          <xdr:nvSpPr>
            <xdr:cNvPr id="0" name=""/>
            <xdr:cNvSpPr>
              <a:spLocks noTextEdit="1"/>
            </xdr:cNvSpPr>
          </xdr:nvSpPr>
          <xdr:spPr>
            <a:xfrm>
              <a:off x="33130" y="6763032"/>
              <a:ext cx="2845319" cy="2429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886238</xdr:colOff>
      <xdr:row>36</xdr:row>
      <xdr:rowOff>7288</xdr:rowOff>
    </xdr:from>
    <xdr:to>
      <xdr:col>2</xdr:col>
      <xdr:colOff>1548847</xdr:colOff>
      <xdr:row>49</xdr:row>
      <xdr:rowOff>97154</xdr:rowOff>
    </xdr:to>
    <mc:AlternateContent xmlns:mc="http://schemas.openxmlformats.org/markup-compatibility/2006" xmlns:a14="http://schemas.microsoft.com/office/drawing/2010/main">
      <mc:Choice Requires="a14">
        <xdr:graphicFrame macro="">
          <xdr:nvGraphicFramePr>
            <xdr:cNvPr id="6" name="Company">
              <a:extLst>
                <a:ext uri="{FF2B5EF4-FFF2-40B4-BE49-F238E27FC236}">
                  <a16:creationId xmlns:a16="http://schemas.microsoft.com/office/drawing/2014/main" id="{EDF06B1A-82E0-EAFB-84F5-CA7B410BEE8B}"/>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2103784" y="6815592"/>
              <a:ext cx="221244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1565413</xdr:colOff>
      <xdr:row>36</xdr:row>
      <xdr:rowOff>7289</xdr:rowOff>
    </xdr:from>
    <xdr:to>
      <xdr:col>3</xdr:col>
      <xdr:colOff>2285999</xdr:colOff>
      <xdr:row>49</xdr:row>
      <xdr:rowOff>97155</xdr:rowOff>
    </xdr:to>
    <mc:AlternateContent xmlns:mc="http://schemas.openxmlformats.org/markup-compatibility/2006" xmlns:a14="http://schemas.microsoft.com/office/drawing/2010/main">
      <mc:Choice Requires="a14">
        <xdr:graphicFrame macro="">
          <xdr:nvGraphicFramePr>
            <xdr:cNvPr id="7" name="Sector">
              <a:extLst>
                <a:ext uri="{FF2B5EF4-FFF2-40B4-BE49-F238E27FC236}">
                  <a16:creationId xmlns:a16="http://schemas.microsoft.com/office/drawing/2014/main" id="{32FFD410-6079-A562-BC28-43E304897BE2}"/>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4422913" y="6815593"/>
              <a:ext cx="2120348"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49695</xdr:colOff>
      <xdr:row>36</xdr:row>
      <xdr:rowOff>49696</xdr:rowOff>
    </xdr:from>
    <xdr:to>
      <xdr:col>6</xdr:col>
      <xdr:colOff>1772478</xdr:colOff>
      <xdr:row>44</xdr:row>
      <xdr:rowOff>140803</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4D06B126-0D4F-0F15-817E-3A25258F83D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673742" y="6809084"/>
              <a:ext cx="6267889" cy="15254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ganpreet Kaur" refreshedDate="46291.888947453706" createdVersion="8" refreshedVersion="8" minRefreshableVersion="3" recordCount="500" xr:uid="{4B284D6C-315F-4EC0-806E-06F8623BF086}">
  <cacheSource type="worksheet">
    <worksheetSource name="Table1"/>
  </cacheSource>
  <cacheFields count="13">
    <cacheField name="Trade_ID" numFmtId="0">
      <sharedItems/>
    </cacheField>
    <cacheField name="Date" numFmtId="0">
      <sharedItems containsNonDate="0" containsDate="1" containsString="0" containsBlank="1" minDate="2026-01-01T00:00:00" maxDate="2026-03-02T00:00:00" count="4">
        <d v="2026-03-01T00:00:00"/>
        <d v="2026-02-01T00:00:00"/>
        <d v="2026-01-01T00:00:00"/>
        <m/>
      </sharedItems>
      <fieldGroup par="12"/>
    </cacheField>
    <cacheField name="Ticker" numFmtId="0">
      <sharedItems count="5">
        <s v="RELIANCE"/>
        <s v="TATAMOTORS"/>
        <s v="TCS"/>
        <s v="HDFCBANK"/>
        <s v="INFY"/>
      </sharedItems>
    </cacheField>
    <cacheField name="Company" numFmtId="0">
      <sharedItems count="5">
        <s v="Reliance"/>
        <s v="Tata Motors"/>
        <s v="TCS"/>
        <s v="HDFC Bank"/>
        <s v="Infosys"/>
      </sharedItems>
    </cacheField>
    <cacheField name="Sector" numFmtId="0">
      <sharedItems count="4">
        <s v="Energy"/>
        <s v="Auto"/>
        <s v="IT"/>
        <s v="Banking"/>
      </sharedItems>
    </cacheField>
    <cacheField name="Open" numFmtId="3">
      <sharedItems containsString="0" containsBlank="1" containsNumber="1" containsInteger="1" minValue="1000" maxValue="3500"/>
    </cacheField>
    <cacheField name="High" numFmtId="3">
      <sharedItems containsString="0" containsBlank="1" containsNumber="1" containsInteger="1" minValue="1012" maxValue="3600"/>
    </cacheField>
    <cacheField name="Low" numFmtId="3">
      <sharedItems containsString="0" containsBlank="1" containsNumber="1" containsInteger="1" minValue="920" maxValue="3490"/>
    </cacheField>
    <cacheField name="Close" numFmtId="3">
      <sharedItems containsString="0" containsBlank="1" containsNumber="1" containsInteger="1" minValue="950" maxValue="3550"/>
    </cacheField>
    <cacheField name="Volume" numFmtId="3">
      <sharedItems containsString="0" containsBlank="1" containsNumber="1" containsInteger="1" minValue="100000" maxValue="500000"/>
    </cacheField>
    <cacheField name="Return" numFmtId="10">
      <sharedItems containsMixedTypes="1" containsNumber="1" minValue="-0.72747875354107649" maxValue="2.6210418794688457" count="182">
        <n v="2.9138000809388911E-2"/>
        <s v=""/>
        <n v="-8.0873433077234124E-4"/>
        <n v="0.40016135538523601"/>
        <n v="1.0659752232785941E-2"/>
        <n v="0.42533387292594094"/>
        <n v="2.6016343207354442"/>
        <n v="2.5587334014300307"/>
        <n v="0.39740995548360986"/>
        <n v="0.42396127470754336"/>
        <n v="0.41326324302466638"/>
        <n v="0.43065103113627173"/>
        <n v="-0.58356940509915012"/>
        <n v="-0.71074618265629497"/>
        <n v="0.39169019766034691"/>
        <n v="-0.71766061653702107"/>
        <n v="1.4461538461538461"/>
        <n v="1.3663461538461539"/>
        <n v="-0.61149332254148114"/>
        <n v="-0.70793201133144479"/>
        <n v="-1.3314447592067988E-2"/>
        <n v="2.4262029923170238E-3"/>
        <n v="-0.60825576689599348"/>
        <n v="2.4134615384615383"/>
        <n v="2.2993142396127472E-2"/>
        <n v="-0.29299913569576491"/>
        <n v="-4.8158640226628894E-3"/>
        <n v="-1.3597733711048159E-2"/>
        <n v="1.9230769230769232E-3"/>
        <n v="1.375"/>
        <n v="-0.27456064534716218"/>
        <n v="0.41992739007664381"/>
        <n v="-2.8600612870275793E-2"/>
        <n v="1.4164305949008499E-3"/>
        <n v="2.3730769230769231"/>
        <n v="0.4173069146785281"/>
        <n v="0.39580862000790829"/>
        <n v="8.4985835694051E-3"/>
        <n v="2.3471153846153845"/>
        <n v="-0.58148893360160969"/>
        <n v="-7.9082641360221433E-4"/>
        <n v="-0.29154849688031764"/>
        <n v="-4.807692307692308E-2"/>
        <n v="-4.0334197637568424E-3"/>
        <n v="-0.71967732641889948"/>
        <n v="-0.7078651685393258"/>
        <n v="1.4451923076923077"/>
        <n v="2.8733306353702956E-2"/>
        <n v="-1.1538461538461539E-2"/>
        <n v="-0.28583569405099152"/>
        <n v="0.41609657947686118"/>
        <n v="-0.28413597733711049"/>
        <n v="-8.0938891137191421E-4"/>
        <n v="0.3982193443949818"/>
        <n v="-4.0436716538617065E-3"/>
        <n v="-0.29184673004897727"/>
        <n v="0.41319303925536222"/>
        <n v="-0.715014164305949"/>
        <n v="-1.9546742209631728E-2"/>
        <n v="0.39739027283511269"/>
        <n v="1.5219611848825332"/>
        <n v="0.42498989082086536"/>
        <n v="-0.71048158640226633"/>
        <n v="0.37564254646105177"/>
        <n v="-0.60362173038229372"/>
        <n v="-2.2538552787663108E-2"/>
        <n v="2.6138917262512766"/>
        <n v="1.5812053115423903"/>
        <n v="0.40603621730382294"/>
        <n v="0.39959758551307845"/>
        <n v="1.6421780466724288E-2"/>
        <n v="2.6210418794688457"/>
        <n v="-1.8696883852691217E-2"/>
        <n v="5.2567731500202186E-3"/>
        <n v="2.3846153846153846"/>
        <n v="0.4216916228247673"/>
        <n v="0.39185448793989719"/>
        <n v="2.581686163775716E-2"/>
        <n v="-2.3048112935753384E-3"/>
        <n v="8.0873433077234124E-4"/>
        <n v="1.5526046986721145"/>
        <n v="-7.6458752515090539E-3"/>
        <n v="-0.70239124171708445"/>
        <n v="-0.5908539053014974"/>
        <n v="0.40482897384305833"/>
        <n v="1.6709881878421203E-2"/>
        <n v="-4.0469445568595708E-3"/>
        <n v="7.4906367041198503E-3"/>
        <n v="0.40160965794768611"/>
        <n v="-1.7867271695972773E-2"/>
        <n v="-2.1450459652706845E-2"/>
        <n v="-0.7215297450424929"/>
        <n v="-0.27744165946413135"/>
        <n v="1.3567307692307693"/>
        <n v="-0.28233938346297899"/>
        <n v="2.529111338100102"/>
        <n v="-0.62396204033214708"/>
        <n v="-0.70589903573454338"/>
        <n v="-2.1813031161473088E-2"/>
        <n v="-0.58033184945366245"/>
        <n v="1.0947853644482858E-2"/>
        <n v="4.0436716538617065E-3"/>
        <n v="-0.28725212464589234"/>
        <n v="-3.9660056657223799E-3"/>
        <n v="1.1322280630812778E-2"/>
        <n v="0.42296805499393447"/>
        <n v="1.4009615384615384"/>
        <n v="-7.4038461538461539E-2"/>
        <n v="3.3994334277620396E-3"/>
        <n v="0.40032349373230891"/>
        <n v="-3.3994334277620396E-3"/>
        <n v="1.4221153846153847"/>
        <n v="-8.5082246171298923E-4"/>
        <n v="-0.58470824949698186"/>
        <n v="-0.28271954674220962"/>
        <n v="-5.3885422575155988E-3"/>
        <n v="-1.1294876966518758E-2"/>
        <n v="0.3959758551307847"/>
        <n v="-0.61234368697055264"/>
        <n v="-0.59449615540267098"/>
        <n v="-0.29546742209631727"/>
        <n v="0.42250101173613924"/>
        <n v="-0.28672716959727734"/>
        <n v="-0.59580475998386451"/>
        <n v="0.3969948596283116"/>
        <n v="-0.58026688232915491"/>
        <n v="-0.59557344064386319"/>
        <n v="2.6077630234933604"/>
        <n v="0.41851106639839036"/>
        <n v="-0.61565836298932386"/>
        <n v="1.585291113381001"/>
        <n v="-2.6923076923076925E-2"/>
        <n v="1.4096153846153847"/>
        <n v="1.5893769152196118"/>
        <n v="-0.28666090463843275"/>
        <n v="-0.70963172804532582"/>
        <n v="-2.8865164096480822E-2"/>
        <n v="3.2193158953722333E-3"/>
        <n v="-1.2101653892698668E-3"/>
        <n v="-0.71218130311614736"/>
        <n v="1.9770660340055358E-3"/>
        <n v="-0.71270561542824729"/>
        <n v="1.8726591760299626E-2"/>
        <n v="-0.60724346076458757"/>
        <n v="-0.61637757160145223"/>
        <n v="-0.3008498583569405"/>
        <n v="0.38869118228548832"/>
        <n v="-0.72747875354107649"/>
        <n v="-0.60412454508693891"/>
        <n v="1.8913480885311872E-2"/>
        <n v="5.3824362606232296E-3"/>
        <n v="-0.72096317280453259"/>
        <n v="-1.7793594306049824E-2"/>
        <n v="7.2025352924229326E-3"/>
        <n v="1.3615384615384616"/>
        <n v="-0.60987454471873737"/>
        <n v="1.7286084701815039E-3"/>
        <n v="0.39330375151270675"/>
        <n v="-0.60250707642539425"/>
        <n v="0.40355843105539829"/>
        <n v="1.0513546300040437E-2"/>
        <n v="8.3036773428232496E-3"/>
        <n v="4.0469445568595711E-4"/>
        <n v="2.3865384615384615"/>
        <n v="-0.59983864461476399"/>
        <n v="-0.70594900849858355"/>
        <n v="-0.71554169030062398"/>
        <n v="2.3724792408066431E-3"/>
        <n v="-1.3613159387407828E-2"/>
        <n v="1.5365952284674484E-2"/>
        <n v="-1.0891488503428802E-2"/>
        <n v="2.6169560776302347"/>
        <n v="1.5689479060265576"/>
        <n v="2.501008471157725E-2"/>
        <n v="-2.414486921529175E-3"/>
        <n v="-5.4739268222414291E-3"/>
        <n v="0.42132796780684106"/>
        <n v="-0.70736543909348437"/>
        <n v="-0.59338442920532475"/>
        <n v="0"/>
        <n v="0.37920126532226178"/>
        <n v="4.8158640226628894E-3"/>
      </sharedItems>
    </cacheField>
    <cacheField name="Days (Date)" numFmtId="0" databaseField="0">
      <fieldGroup base="1">
        <rangePr groupBy="days" startDate="2026-01-01T00:00:00" endDate="2026-03-02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6"/>
        </groupItems>
      </fieldGroup>
    </cacheField>
    <cacheField name="Months (Date)" numFmtId="0" databaseField="0">
      <fieldGroup base="1">
        <rangePr groupBy="months" startDate="2026-01-01T00:00:00" endDate="2026-03-02T00:00:00"/>
        <groupItems count="14">
          <s v="&lt;01-01-2026"/>
          <s v="Jan"/>
          <s v="Feb"/>
          <s v="Mar"/>
          <s v="Apr"/>
          <s v="May"/>
          <s v="Jun"/>
          <s v="Jul"/>
          <s v="Aug"/>
          <s v="Sep"/>
          <s v="Oct"/>
          <s v="Nov"/>
          <s v="Dec"/>
          <s v="&gt;02-03-2026"/>
        </groupItems>
      </fieldGroup>
    </cacheField>
  </cacheFields>
  <extLst>
    <ext xmlns:x14="http://schemas.microsoft.com/office/spreadsheetml/2009/9/main" uri="{725AE2AE-9491-48be-B2B4-4EB974FC3084}">
      <x14:pivotCacheDefinition pivotCacheId="1288066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R-1"/>
    <x v="0"/>
    <x v="0"/>
    <x v="0"/>
    <x v="0"/>
    <n v="2500"/>
    <n v="2566"/>
    <n v="2433"/>
    <n v="2543"/>
    <n v="100000"/>
    <x v="0"/>
  </r>
  <r>
    <s v="TR1"/>
    <x v="1"/>
    <x v="1"/>
    <x v="1"/>
    <x v="1"/>
    <m/>
    <m/>
    <m/>
    <m/>
    <n v="500000"/>
    <x v="1"/>
  </r>
  <r>
    <s v="TR2"/>
    <x v="2"/>
    <x v="2"/>
    <x v="2"/>
    <x v="2"/>
    <n v="1000"/>
    <n v="1061"/>
    <n v="960"/>
    <n v="979"/>
    <n v="250000"/>
    <x v="1"/>
  </r>
  <r>
    <s v="TR3"/>
    <x v="1"/>
    <x v="0"/>
    <x v="0"/>
    <x v="0"/>
    <n v="2500"/>
    <n v="2520"/>
    <n v="2457"/>
    <n v="2471"/>
    <n v="250000"/>
    <x v="2"/>
  </r>
  <r>
    <s v="TR4"/>
    <x v="2"/>
    <x v="2"/>
    <x v="2"/>
    <x v="2"/>
    <n v="3500"/>
    <n v="3600"/>
    <n v="3425"/>
    <n v="3451"/>
    <m/>
    <x v="1"/>
  </r>
  <r>
    <s v="TR4"/>
    <x v="1"/>
    <x v="3"/>
    <x v="3"/>
    <x v="3"/>
    <m/>
    <m/>
    <m/>
    <m/>
    <n v="500000"/>
    <x v="1"/>
  </r>
  <r>
    <s v="TR6"/>
    <x v="1"/>
    <x v="1"/>
    <x v="1"/>
    <x v="1"/>
    <n v="3500"/>
    <n v="3544"/>
    <n v="3435"/>
    <n v="3471"/>
    <n v="500000"/>
    <x v="3"/>
  </r>
  <r>
    <s v="TR7"/>
    <x v="0"/>
    <x v="1"/>
    <x v="1"/>
    <x v="1"/>
    <n v="3500"/>
    <n v="3556"/>
    <n v="3482"/>
    <n v="3508"/>
    <n v="100000"/>
    <x v="4"/>
  </r>
  <r>
    <s v="TR7"/>
    <x v="0"/>
    <x v="0"/>
    <x v="0"/>
    <x v="0"/>
    <n v="3500"/>
    <n v="3570"/>
    <n v="3423"/>
    <n v="3522"/>
    <n v="500000"/>
    <x v="5"/>
  </r>
  <r>
    <s v="TR9"/>
    <x v="2"/>
    <x v="0"/>
    <x v="0"/>
    <x v="0"/>
    <m/>
    <m/>
    <m/>
    <m/>
    <n v="250000"/>
    <x v="1"/>
  </r>
  <r>
    <s v="TR10"/>
    <x v="2"/>
    <x v="1"/>
    <x v="1"/>
    <x v="1"/>
    <n v="2500"/>
    <n v="2546"/>
    <n v="2472"/>
    <n v="2479"/>
    <n v="500000"/>
    <x v="1"/>
  </r>
  <r>
    <s v="TR10"/>
    <x v="2"/>
    <x v="3"/>
    <x v="3"/>
    <x v="3"/>
    <n v="2500"/>
    <n v="2551"/>
    <n v="2475"/>
    <n v="2529"/>
    <n v="500000"/>
    <x v="1"/>
  </r>
  <r>
    <s v="TR12"/>
    <x v="3"/>
    <x v="2"/>
    <x v="2"/>
    <x v="2"/>
    <n v="2500"/>
    <n v="2558"/>
    <n v="2472"/>
    <n v="2490"/>
    <n v="100000"/>
    <x v="1"/>
  </r>
  <r>
    <s v="TR12"/>
    <x v="1"/>
    <x v="2"/>
    <x v="2"/>
    <x v="2"/>
    <n v="3500"/>
    <n v="3526"/>
    <n v="3431"/>
    <n v="3526"/>
    <n v="500000"/>
    <x v="6"/>
  </r>
  <r>
    <s v="TR13"/>
    <x v="1"/>
    <x v="2"/>
    <x v="2"/>
    <x v="2"/>
    <n v="3500"/>
    <n v="3515"/>
    <n v="3483"/>
    <n v="3484"/>
    <m/>
    <x v="7"/>
  </r>
  <r>
    <s v="TR14"/>
    <x v="3"/>
    <x v="0"/>
    <x v="0"/>
    <x v="0"/>
    <m/>
    <m/>
    <m/>
    <m/>
    <n v="100000"/>
    <x v="1"/>
  </r>
  <r>
    <s v="TR15"/>
    <x v="0"/>
    <x v="0"/>
    <x v="0"/>
    <x v="0"/>
    <n v="3500"/>
    <n v="3523"/>
    <n v="3444"/>
    <n v="3453"/>
    <n v="100000"/>
    <x v="8"/>
  </r>
  <r>
    <s v="TR16"/>
    <x v="1"/>
    <x v="1"/>
    <x v="1"/>
    <x v="1"/>
    <n v="3500"/>
    <n v="3571"/>
    <n v="3429"/>
    <n v="3530"/>
    <m/>
    <x v="9"/>
  </r>
  <r>
    <s v="TR17"/>
    <x v="1"/>
    <x v="0"/>
    <x v="0"/>
    <x v="0"/>
    <n v="3500"/>
    <n v="3528"/>
    <n v="3479"/>
    <n v="3495"/>
    <n v="500000"/>
    <x v="10"/>
  </r>
  <r>
    <s v="TR19"/>
    <x v="3"/>
    <x v="4"/>
    <x v="4"/>
    <x v="2"/>
    <m/>
    <m/>
    <m/>
    <m/>
    <m/>
    <x v="1"/>
  </r>
  <r>
    <s v="TR19"/>
    <x v="1"/>
    <x v="0"/>
    <x v="0"/>
    <x v="0"/>
    <n v="3500"/>
    <n v="3587"/>
    <n v="3466"/>
    <n v="3538"/>
    <m/>
    <x v="11"/>
  </r>
  <r>
    <s v="TR21"/>
    <x v="3"/>
    <x v="0"/>
    <x v="0"/>
    <x v="0"/>
    <n v="3500"/>
    <n v="3580"/>
    <n v="3455"/>
    <n v="3542"/>
    <n v="100000"/>
    <x v="1"/>
  </r>
  <r>
    <s v="TR21"/>
    <x v="2"/>
    <x v="1"/>
    <x v="1"/>
    <x v="1"/>
    <m/>
    <m/>
    <m/>
    <m/>
    <n v="250000"/>
    <x v="1"/>
  </r>
  <r>
    <s v="TR22"/>
    <x v="3"/>
    <x v="4"/>
    <x v="4"/>
    <x v="2"/>
    <m/>
    <m/>
    <m/>
    <m/>
    <n v="250000"/>
    <x v="1"/>
  </r>
  <r>
    <s v="TR23"/>
    <x v="2"/>
    <x v="0"/>
    <x v="0"/>
    <x v="0"/>
    <n v="2500"/>
    <n v="2544"/>
    <n v="2489"/>
    <n v="2473"/>
    <n v="250000"/>
    <x v="1"/>
  </r>
  <r>
    <s v="TR24"/>
    <x v="2"/>
    <x v="2"/>
    <x v="2"/>
    <x v="2"/>
    <m/>
    <m/>
    <m/>
    <m/>
    <n v="250000"/>
    <x v="1"/>
  </r>
  <r>
    <s v="TR25"/>
    <x v="0"/>
    <x v="0"/>
    <x v="0"/>
    <x v="0"/>
    <n v="1000"/>
    <n v="1087"/>
    <n v="973"/>
    <n v="1029"/>
    <m/>
    <x v="12"/>
  </r>
  <r>
    <s v="TR26"/>
    <x v="3"/>
    <x v="3"/>
    <x v="3"/>
    <x v="3"/>
    <n v="1000"/>
    <n v="1049"/>
    <n v="951"/>
    <n v="956"/>
    <n v="100000"/>
    <x v="1"/>
  </r>
  <r>
    <s v="TR27"/>
    <x v="3"/>
    <x v="4"/>
    <x v="4"/>
    <x v="2"/>
    <m/>
    <m/>
    <m/>
    <m/>
    <n v="100000"/>
    <x v="1"/>
  </r>
  <r>
    <s v="TR29"/>
    <x v="1"/>
    <x v="0"/>
    <x v="0"/>
    <x v="0"/>
    <m/>
    <m/>
    <m/>
    <m/>
    <n v="100000"/>
    <x v="1"/>
  </r>
  <r>
    <s v="TR29"/>
    <x v="3"/>
    <x v="3"/>
    <x v="3"/>
    <x v="3"/>
    <n v="2500"/>
    <n v="2567"/>
    <n v="2430"/>
    <n v="2547"/>
    <n v="500000"/>
    <x v="1"/>
  </r>
  <r>
    <s v="TR30"/>
    <x v="3"/>
    <x v="3"/>
    <x v="3"/>
    <x v="3"/>
    <n v="2500"/>
    <n v="2586"/>
    <n v="2490"/>
    <n v="2451"/>
    <n v="250000"/>
    <x v="1"/>
  </r>
  <r>
    <s v="TR31"/>
    <x v="3"/>
    <x v="2"/>
    <x v="2"/>
    <x v="2"/>
    <n v="1000"/>
    <n v="1060"/>
    <n v="957"/>
    <n v="991"/>
    <n v="250000"/>
    <x v="1"/>
  </r>
  <r>
    <s v="TR32"/>
    <x v="3"/>
    <x v="0"/>
    <x v="0"/>
    <x v="0"/>
    <n v="1000"/>
    <n v="1094"/>
    <n v="926"/>
    <n v="1034"/>
    <m/>
    <x v="1"/>
  </r>
  <r>
    <s v="TR34"/>
    <x v="0"/>
    <x v="1"/>
    <x v="1"/>
    <x v="1"/>
    <n v="1000"/>
    <n v="1024"/>
    <n v="927"/>
    <n v="1004"/>
    <m/>
    <x v="13"/>
  </r>
  <r>
    <s v="TR35"/>
    <x v="3"/>
    <x v="2"/>
    <x v="2"/>
    <x v="2"/>
    <n v="2500"/>
    <n v="2522"/>
    <n v="2439"/>
    <n v="2452"/>
    <m/>
    <x v="1"/>
  </r>
  <r>
    <s v="TR36"/>
    <x v="1"/>
    <x v="1"/>
    <x v="1"/>
    <x v="1"/>
    <n v="3500"/>
    <n v="3567"/>
    <n v="3473"/>
    <n v="3450"/>
    <n v="500000"/>
    <x v="14"/>
  </r>
  <r>
    <s v="TR37"/>
    <x v="0"/>
    <x v="1"/>
    <x v="1"/>
    <x v="1"/>
    <n v="1000"/>
    <n v="1070"/>
    <n v="923"/>
    <n v="980"/>
    <n v="500000"/>
    <x v="15"/>
  </r>
  <r>
    <s v="TR37"/>
    <x v="0"/>
    <x v="4"/>
    <x v="4"/>
    <x v="2"/>
    <n v="2500"/>
    <n v="2510"/>
    <n v="2467"/>
    <n v="2544"/>
    <n v="250000"/>
    <x v="16"/>
  </r>
  <r>
    <s v="TR39"/>
    <x v="3"/>
    <x v="2"/>
    <x v="2"/>
    <x v="2"/>
    <m/>
    <m/>
    <m/>
    <m/>
    <n v="100000"/>
    <x v="1"/>
  </r>
  <r>
    <s v="TR40"/>
    <x v="2"/>
    <x v="1"/>
    <x v="1"/>
    <x v="1"/>
    <n v="1000"/>
    <n v="1091"/>
    <n v="964"/>
    <n v="975"/>
    <m/>
    <x v="1"/>
  </r>
  <r>
    <s v="TR41"/>
    <x v="2"/>
    <x v="3"/>
    <x v="3"/>
    <x v="3"/>
    <n v="3500"/>
    <n v="3554"/>
    <n v="3457"/>
    <n v="3461"/>
    <m/>
    <x v="1"/>
  </r>
  <r>
    <s v="TR42"/>
    <x v="3"/>
    <x v="3"/>
    <x v="3"/>
    <x v="3"/>
    <n v="1000"/>
    <n v="1082"/>
    <n v="985"/>
    <n v="955"/>
    <n v="100000"/>
    <x v="1"/>
  </r>
  <r>
    <s v="TR42"/>
    <x v="0"/>
    <x v="4"/>
    <x v="4"/>
    <x v="2"/>
    <n v="2500"/>
    <n v="2546"/>
    <n v="2467"/>
    <n v="2461"/>
    <n v="250000"/>
    <x v="17"/>
  </r>
  <r>
    <s v="TR44"/>
    <x v="0"/>
    <x v="0"/>
    <x v="0"/>
    <x v="0"/>
    <n v="1000"/>
    <n v="1030"/>
    <n v="935"/>
    <n v="960"/>
    <m/>
    <x v="18"/>
  </r>
  <r>
    <s v="TR45"/>
    <x v="2"/>
    <x v="3"/>
    <x v="3"/>
    <x v="3"/>
    <m/>
    <m/>
    <m/>
    <m/>
    <n v="500000"/>
    <x v="1"/>
  </r>
  <r>
    <s v="TR45"/>
    <x v="0"/>
    <x v="3"/>
    <x v="3"/>
    <x v="3"/>
    <n v="1000"/>
    <n v="1087"/>
    <n v="947"/>
    <n v="1031"/>
    <n v="250000"/>
    <x v="19"/>
  </r>
  <r>
    <s v="TR46"/>
    <x v="2"/>
    <x v="4"/>
    <x v="4"/>
    <x v="2"/>
    <m/>
    <m/>
    <m/>
    <m/>
    <n v="250000"/>
    <x v="1"/>
  </r>
  <r>
    <s v="TR48"/>
    <x v="1"/>
    <x v="4"/>
    <x v="4"/>
    <x v="2"/>
    <m/>
    <m/>
    <m/>
    <m/>
    <n v="500000"/>
    <x v="1"/>
  </r>
  <r>
    <s v="TR48"/>
    <x v="0"/>
    <x v="3"/>
    <x v="3"/>
    <x v="3"/>
    <n v="3500"/>
    <n v="3511"/>
    <n v="3428"/>
    <n v="3483"/>
    <n v="250000"/>
    <x v="20"/>
  </r>
  <r>
    <s v="TR49"/>
    <x v="3"/>
    <x v="4"/>
    <x v="4"/>
    <x v="2"/>
    <m/>
    <m/>
    <m/>
    <m/>
    <n v="100000"/>
    <x v="1"/>
  </r>
  <r>
    <s v="TR51"/>
    <x v="2"/>
    <x v="1"/>
    <x v="1"/>
    <x v="1"/>
    <n v="2500"/>
    <n v="2523"/>
    <n v="2489"/>
    <n v="2494"/>
    <n v="500000"/>
    <x v="1"/>
  </r>
  <r>
    <s v="TR51"/>
    <x v="2"/>
    <x v="0"/>
    <x v="0"/>
    <x v="0"/>
    <m/>
    <m/>
    <m/>
    <m/>
    <n v="100000"/>
    <x v="1"/>
  </r>
  <r>
    <s v="TR53"/>
    <x v="1"/>
    <x v="0"/>
    <x v="0"/>
    <x v="0"/>
    <n v="2500"/>
    <n v="2552"/>
    <n v="2484"/>
    <n v="2479"/>
    <n v="250000"/>
    <x v="21"/>
  </r>
  <r>
    <s v="TR53"/>
    <x v="3"/>
    <x v="0"/>
    <x v="0"/>
    <x v="0"/>
    <m/>
    <m/>
    <m/>
    <m/>
    <m/>
    <x v="1"/>
  </r>
  <r>
    <s v="TR55"/>
    <x v="3"/>
    <x v="0"/>
    <x v="0"/>
    <x v="0"/>
    <n v="1000"/>
    <n v="1057"/>
    <n v="948"/>
    <n v="1010"/>
    <n v="100000"/>
    <x v="1"/>
  </r>
  <r>
    <s v="TR56"/>
    <x v="3"/>
    <x v="0"/>
    <x v="0"/>
    <x v="0"/>
    <n v="2500"/>
    <n v="2580"/>
    <n v="2446"/>
    <n v="2531"/>
    <n v="250000"/>
    <x v="1"/>
  </r>
  <r>
    <s v="TR56"/>
    <x v="0"/>
    <x v="0"/>
    <x v="0"/>
    <x v="0"/>
    <n v="1000"/>
    <n v="1028"/>
    <n v="921"/>
    <n v="968"/>
    <n v="500000"/>
    <x v="22"/>
  </r>
  <r>
    <s v="TR58"/>
    <x v="0"/>
    <x v="4"/>
    <x v="4"/>
    <x v="2"/>
    <n v="3500"/>
    <n v="3541"/>
    <n v="3480"/>
    <n v="3550"/>
    <n v="250000"/>
    <x v="23"/>
  </r>
  <r>
    <s v="TR59"/>
    <x v="1"/>
    <x v="1"/>
    <x v="1"/>
    <x v="1"/>
    <n v="2500"/>
    <n v="2574"/>
    <n v="2473"/>
    <n v="2536"/>
    <m/>
    <x v="24"/>
  </r>
  <r>
    <s v="TR60"/>
    <x v="2"/>
    <x v="2"/>
    <x v="2"/>
    <x v="2"/>
    <n v="1000"/>
    <n v="1035"/>
    <n v="930"/>
    <n v="1016"/>
    <m/>
    <x v="1"/>
  </r>
  <r>
    <s v="TR61"/>
    <x v="2"/>
    <x v="0"/>
    <x v="0"/>
    <x v="0"/>
    <n v="3500"/>
    <n v="3593"/>
    <n v="3457"/>
    <n v="3538"/>
    <n v="250000"/>
    <x v="1"/>
  </r>
  <r>
    <s v="TR61"/>
    <x v="0"/>
    <x v="1"/>
    <x v="1"/>
    <x v="1"/>
    <n v="2500"/>
    <n v="2568"/>
    <n v="2453"/>
    <n v="2454"/>
    <n v="250000"/>
    <x v="25"/>
  </r>
  <r>
    <s v="TR62"/>
    <x v="1"/>
    <x v="3"/>
    <x v="3"/>
    <x v="3"/>
    <m/>
    <m/>
    <m/>
    <m/>
    <n v="500000"/>
    <x v="1"/>
  </r>
  <r>
    <s v="TR63"/>
    <x v="3"/>
    <x v="1"/>
    <x v="1"/>
    <x v="1"/>
    <n v="1000"/>
    <n v="1037"/>
    <n v="974"/>
    <n v="1005"/>
    <n v="250000"/>
    <x v="1"/>
  </r>
  <r>
    <s v="TR64"/>
    <x v="2"/>
    <x v="3"/>
    <x v="3"/>
    <x v="3"/>
    <n v="3500"/>
    <n v="3592"/>
    <n v="3488"/>
    <n v="3525"/>
    <m/>
    <x v="1"/>
  </r>
  <r>
    <s v="TR65"/>
    <x v="3"/>
    <x v="1"/>
    <x v="1"/>
    <x v="1"/>
    <n v="2500"/>
    <n v="2600"/>
    <n v="2436"/>
    <n v="2519"/>
    <n v="250000"/>
    <x v="1"/>
  </r>
  <r>
    <s v="TR67"/>
    <x v="0"/>
    <x v="3"/>
    <x v="3"/>
    <x v="3"/>
    <n v="3500"/>
    <n v="3542"/>
    <n v="3426"/>
    <n v="3513"/>
    <n v="500000"/>
    <x v="26"/>
  </r>
  <r>
    <s v="TR68"/>
    <x v="1"/>
    <x v="0"/>
    <x v="0"/>
    <x v="0"/>
    <m/>
    <m/>
    <m/>
    <m/>
    <n v="250000"/>
    <x v="1"/>
  </r>
  <r>
    <s v="TR69"/>
    <x v="1"/>
    <x v="1"/>
    <x v="1"/>
    <x v="1"/>
    <m/>
    <m/>
    <m/>
    <m/>
    <n v="250000"/>
    <x v="1"/>
  </r>
  <r>
    <s v="TR70"/>
    <x v="0"/>
    <x v="4"/>
    <x v="4"/>
    <x v="2"/>
    <m/>
    <m/>
    <m/>
    <m/>
    <n v="100000"/>
    <x v="1"/>
  </r>
  <r>
    <s v="TR71"/>
    <x v="1"/>
    <x v="1"/>
    <x v="1"/>
    <x v="1"/>
    <m/>
    <m/>
    <m/>
    <m/>
    <n v="500000"/>
    <x v="1"/>
  </r>
  <r>
    <s v="TR71"/>
    <x v="3"/>
    <x v="3"/>
    <x v="3"/>
    <x v="3"/>
    <m/>
    <m/>
    <m/>
    <m/>
    <n v="500000"/>
    <x v="1"/>
  </r>
  <r>
    <s v="TR72"/>
    <x v="0"/>
    <x v="3"/>
    <x v="3"/>
    <x v="3"/>
    <n v="3500"/>
    <n v="3598"/>
    <n v="3427"/>
    <n v="3482"/>
    <m/>
    <x v="27"/>
  </r>
  <r>
    <s v="TR73"/>
    <x v="2"/>
    <x v="1"/>
    <x v="1"/>
    <x v="1"/>
    <m/>
    <m/>
    <m/>
    <m/>
    <n v="250000"/>
    <x v="1"/>
  </r>
  <r>
    <s v="TR75"/>
    <x v="2"/>
    <x v="3"/>
    <x v="3"/>
    <x v="3"/>
    <n v="3500"/>
    <n v="3577"/>
    <n v="3433"/>
    <n v="3536"/>
    <n v="250000"/>
    <x v="1"/>
  </r>
  <r>
    <s v="TR76"/>
    <x v="0"/>
    <x v="4"/>
    <x v="4"/>
    <x v="2"/>
    <n v="1000"/>
    <n v="1092"/>
    <n v="932"/>
    <n v="1042"/>
    <m/>
    <x v="28"/>
  </r>
  <r>
    <s v="TR76"/>
    <x v="0"/>
    <x v="4"/>
    <x v="4"/>
    <x v="2"/>
    <n v="2500"/>
    <n v="2522"/>
    <n v="2454"/>
    <n v="2470"/>
    <n v="100000"/>
    <x v="29"/>
  </r>
  <r>
    <s v="TR77"/>
    <x v="3"/>
    <x v="0"/>
    <x v="0"/>
    <x v="0"/>
    <n v="2500"/>
    <n v="2522"/>
    <n v="2434"/>
    <n v="2504"/>
    <m/>
    <x v="1"/>
  </r>
  <r>
    <s v="TR78"/>
    <x v="1"/>
    <x v="2"/>
    <x v="2"/>
    <x v="2"/>
    <m/>
    <m/>
    <m/>
    <m/>
    <m/>
    <x v="1"/>
  </r>
  <r>
    <s v="TR80"/>
    <x v="3"/>
    <x v="2"/>
    <x v="2"/>
    <x v="2"/>
    <n v="2500"/>
    <n v="2573"/>
    <n v="2424"/>
    <n v="2484"/>
    <n v="500000"/>
    <x v="1"/>
  </r>
  <r>
    <s v="TR80"/>
    <x v="0"/>
    <x v="1"/>
    <x v="1"/>
    <x v="1"/>
    <n v="2500"/>
    <n v="2556"/>
    <n v="2453"/>
    <n v="2518"/>
    <n v="100000"/>
    <x v="30"/>
  </r>
  <r>
    <s v="TR81"/>
    <x v="1"/>
    <x v="1"/>
    <x v="1"/>
    <x v="1"/>
    <n v="3500"/>
    <n v="3548"/>
    <n v="3426"/>
    <n v="3520"/>
    <n v="250000"/>
    <x v="31"/>
  </r>
  <r>
    <s v="TR83"/>
    <x v="1"/>
    <x v="2"/>
    <x v="2"/>
    <x v="2"/>
    <n v="1000"/>
    <n v="1051"/>
    <n v="944"/>
    <n v="951"/>
    <n v="250000"/>
    <x v="32"/>
  </r>
  <r>
    <s v="TR84"/>
    <x v="0"/>
    <x v="3"/>
    <x v="3"/>
    <x v="3"/>
    <n v="3500"/>
    <n v="3564"/>
    <n v="3435"/>
    <n v="3535"/>
    <n v="500000"/>
    <x v="33"/>
  </r>
  <r>
    <s v="TR84"/>
    <x v="0"/>
    <x v="4"/>
    <x v="4"/>
    <x v="2"/>
    <n v="3500"/>
    <n v="3526"/>
    <n v="3479"/>
    <n v="3508"/>
    <n v="500000"/>
    <x v="34"/>
  </r>
  <r>
    <s v="TR86"/>
    <x v="2"/>
    <x v="1"/>
    <x v="1"/>
    <x v="1"/>
    <n v="3500"/>
    <n v="3597"/>
    <n v="3441"/>
    <n v="3548"/>
    <m/>
    <x v="1"/>
  </r>
  <r>
    <s v="TR86"/>
    <x v="2"/>
    <x v="0"/>
    <x v="0"/>
    <x v="0"/>
    <n v="2500"/>
    <n v="2566"/>
    <n v="2473"/>
    <n v="2499"/>
    <m/>
    <x v="1"/>
  </r>
  <r>
    <s v="TR87"/>
    <x v="1"/>
    <x v="0"/>
    <x v="0"/>
    <x v="0"/>
    <n v="3500"/>
    <n v="3555"/>
    <n v="3483"/>
    <n v="3505"/>
    <n v="100000"/>
    <x v="35"/>
  </r>
  <r>
    <s v="TR89"/>
    <x v="2"/>
    <x v="2"/>
    <x v="2"/>
    <x v="2"/>
    <m/>
    <m/>
    <m/>
    <m/>
    <n v="250000"/>
    <x v="1"/>
  </r>
  <r>
    <s v="TR90"/>
    <x v="1"/>
    <x v="3"/>
    <x v="3"/>
    <x v="3"/>
    <n v="3500"/>
    <n v="3549"/>
    <n v="3447"/>
    <n v="3530"/>
    <n v="500000"/>
    <x v="36"/>
  </r>
  <r>
    <s v="TR91"/>
    <x v="0"/>
    <x v="0"/>
    <x v="0"/>
    <x v="0"/>
    <n v="2500"/>
    <n v="2510"/>
    <n v="2472"/>
    <n v="2492"/>
    <n v="500000"/>
    <x v="37"/>
  </r>
  <r>
    <s v="TR92"/>
    <x v="3"/>
    <x v="4"/>
    <x v="4"/>
    <x v="2"/>
    <n v="1000"/>
    <n v="1035"/>
    <n v="925"/>
    <n v="1020"/>
    <n v="250000"/>
    <x v="1"/>
  </r>
  <r>
    <s v="TR92"/>
    <x v="1"/>
    <x v="2"/>
    <x v="2"/>
    <x v="2"/>
    <m/>
    <m/>
    <m/>
    <m/>
    <n v="500000"/>
    <x v="1"/>
  </r>
  <r>
    <s v="TR94"/>
    <x v="2"/>
    <x v="0"/>
    <x v="0"/>
    <x v="0"/>
    <m/>
    <m/>
    <m/>
    <m/>
    <m/>
    <x v="1"/>
  </r>
  <r>
    <s v="TR94"/>
    <x v="2"/>
    <x v="0"/>
    <x v="0"/>
    <x v="0"/>
    <n v="3500"/>
    <n v="3523"/>
    <n v="3487"/>
    <n v="3462"/>
    <n v="500000"/>
    <x v="1"/>
  </r>
  <r>
    <s v="TR95"/>
    <x v="3"/>
    <x v="0"/>
    <x v="0"/>
    <x v="0"/>
    <n v="1000"/>
    <n v="1091"/>
    <n v="934"/>
    <n v="1010"/>
    <n v="250000"/>
    <x v="1"/>
  </r>
  <r>
    <s v="TR96"/>
    <x v="0"/>
    <x v="4"/>
    <x v="4"/>
    <x v="2"/>
    <n v="3500"/>
    <n v="3555"/>
    <n v="3453"/>
    <n v="3481"/>
    <n v="500000"/>
    <x v="38"/>
  </r>
  <r>
    <s v="TR97"/>
    <x v="0"/>
    <x v="3"/>
    <x v="3"/>
    <x v="3"/>
    <m/>
    <m/>
    <m/>
    <m/>
    <n v="500000"/>
    <x v="1"/>
  </r>
  <r>
    <s v="TR99"/>
    <x v="1"/>
    <x v="0"/>
    <x v="0"/>
    <x v="0"/>
    <m/>
    <m/>
    <m/>
    <m/>
    <n v="500000"/>
    <x v="1"/>
  </r>
  <r>
    <s v="TR99"/>
    <x v="3"/>
    <x v="0"/>
    <x v="0"/>
    <x v="0"/>
    <n v="3500"/>
    <n v="3523"/>
    <n v="3459"/>
    <n v="3482"/>
    <n v="100000"/>
    <x v="1"/>
  </r>
  <r>
    <s v="TR100"/>
    <x v="1"/>
    <x v="4"/>
    <x v="4"/>
    <x v="2"/>
    <n v="1000"/>
    <n v="1048"/>
    <n v="961"/>
    <n v="1040"/>
    <m/>
    <x v="39"/>
  </r>
  <r>
    <s v="TR102"/>
    <x v="1"/>
    <x v="3"/>
    <x v="3"/>
    <x v="3"/>
    <m/>
    <m/>
    <m/>
    <m/>
    <n v="250000"/>
    <x v="1"/>
  </r>
  <r>
    <s v="TR102"/>
    <x v="3"/>
    <x v="4"/>
    <x v="4"/>
    <x v="2"/>
    <m/>
    <m/>
    <m/>
    <m/>
    <n v="250000"/>
    <x v="1"/>
  </r>
  <r>
    <s v="TR104"/>
    <x v="1"/>
    <x v="3"/>
    <x v="3"/>
    <x v="3"/>
    <n v="2500"/>
    <n v="2555"/>
    <n v="2424"/>
    <n v="2527"/>
    <m/>
    <x v="40"/>
  </r>
  <r>
    <s v="TR104"/>
    <x v="3"/>
    <x v="1"/>
    <x v="1"/>
    <x v="1"/>
    <m/>
    <m/>
    <m/>
    <m/>
    <n v="500000"/>
    <x v="1"/>
  </r>
  <r>
    <s v="TR105"/>
    <x v="0"/>
    <x v="2"/>
    <x v="2"/>
    <x v="2"/>
    <n v="2500"/>
    <n v="2566"/>
    <n v="2435"/>
    <n v="2498"/>
    <m/>
    <x v="41"/>
  </r>
  <r>
    <s v="TR106"/>
    <x v="2"/>
    <x v="3"/>
    <x v="3"/>
    <x v="3"/>
    <n v="2500"/>
    <n v="2585"/>
    <n v="2490"/>
    <n v="2481"/>
    <n v="100000"/>
    <x v="1"/>
  </r>
  <r>
    <s v="TR108"/>
    <x v="1"/>
    <x v="2"/>
    <x v="2"/>
    <x v="2"/>
    <m/>
    <m/>
    <m/>
    <m/>
    <n v="250000"/>
    <x v="1"/>
  </r>
  <r>
    <s v="TR109"/>
    <x v="3"/>
    <x v="2"/>
    <x v="2"/>
    <x v="2"/>
    <m/>
    <m/>
    <m/>
    <m/>
    <n v="500000"/>
    <x v="1"/>
  </r>
  <r>
    <s v="TR110"/>
    <x v="0"/>
    <x v="2"/>
    <x v="2"/>
    <x v="2"/>
    <m/>
    <m/>
    <m/>
    <m/>
    <m/>
    <x v="1"/>
  </r>
  <r>
    <s v="TR111"/>
    <x v="2"/>
    <x v="1"/>
    <x v="1"/>
    <x v="1"/>
    <m/>
    <m/>
    <m/>
    <m/>
    <m/>
    <x v="1"/>
  </r>
  <r>
    <s v="TR111"/>
    <x v="2"/>
    <x v="4"/>
    <x v="4"/>
    <x v="2"/>
    <n v="2500"/>
    <n v="2556"/>
    <n v="2464"/>
    <n v="2485"/>
    <n v="100000"/>
    <x v="1"/>
  </r>
  <r>
    <s v="TR113"/>
    <x v="3"/>
    <x v="1"/>
    <x v="1"/>
    <x v="1"/>
    <n v="3500"/>
    <n v="3562"/>
    <n v="3432"/>
    <n v="3454"/>
    <n v="250000"/>
    <x v="1"/>
  </r>
  <r>
    <s v="TR114"/>
    <x v="0"/>
    <x v="4"/>
    <x v="4"/>
    <x v="2"/>
    <m/>
    <m/>
    <m/>
    <m/>
    <n v="100000"/>
    <x v="1"/>
  </r>
  <r>
    <s v="TR114"/>
    <x v="0"/>
    <x v="4"/>
    <x v="4"/>
    <x v="2"/>
    <n v="1000"/>
    <n v="1036"/>
    <n v="984"/>
    <n v="990"/>
    <m/>
    <x v="42"/>
  </r>
  <r>
    <s v="TR115"/>
    <x v="0"/>
    <x v="1"/>
    <x v="1"/>
    <x v="1"/>
    <n v="3500"/>
    <n v="3516"/>
    <n v="3422"/>
    <n v="3457"/>
    <m/>
    <x v="43"/>
  </r>
  <r>
    <s v="TR117"/>
    <x v="2"/>
    <x v="1"/>
    <x v="1"/>
    <x v="1"/>
    <n v="2500"/>
    <n v="2587"/>
    <n v="2471"/>
    <n v="2499"/>
    <n v="100000"/>
    <x v="1"/>
  </r>
  <r>
    <s v="TR118"/>
    <x v="2"/>
    <x v="2"/>
    <x v="2"/>
    <x v="2"/>
    <n v="3500"/>
    <n v="3571"/>
    <n v="3467"/>
    <n v="3486"/>
    <m/>
    <x v="1"/>
  </r>
  <r>
    <s v="TR118"/>
    <x v="2"/>
    <x v="4"/>
    <x v="4"/>
    <x v="2"/>
    <n v="1000"/>
    <n v="1049"/>
    <n v="979"/>
    <n v="1048"/>
    <n v="500000"/>
    <x v="1"/>
  </r>
  <r>
    <s v="TR119"/>
    <x v="2"/>
    <x v="4"/>
    <x v="4"/>
    <x v="2"/>
    <n v="2500"/>
    <n v="2566"/>
    <n v="2485"/>
    <n v="2469"/>
    <m/>
    <x v="1"/>
  </r>
  <r>
    <s v="TR121"/>
    <x v="2"/>
    <x v="4"/>
    <x v="4"/>
    <x v="2"/>
    <n v="1000"/>
    <n v="1057"/>
    <n v="963"/>
    <n v="1046"/>
    <n v="100000"/>
    <x v="1"/>
  </r>
  <r>
    <s v="TR121"/>
    <x v="2"/>
    <x v="0"/>
    <x v="0"/>
    <x v="0"/>
    <n v="1000"/>
    <n v="1086"/>
    <n v="938"/>
    <n v="977"/>
    <n v="100000"/>
    <x v="1"/>
  </r>
  <r>
    <s v="TR123"/>
    <x v="3"/>
    <x v="4"/>
    <x v="4"/>
    <x v="2"/>
    <n v="3500"/>
    <n v="3536"/>
    <n v="3482"/>
    <n v="3458"/>
    <m/>
    <x v="1"/>
  </r>
  <r>
    <s v="TR124"/>
    <x v="3"/>
    <x v="4"/>
    <x v="4"/>
    <x v="2"/>
    <n v="1000"/>
    <n v="1019"/>
    <n v="973"/>
    <n v="951"/>
    <m/>
    <x v="1"/>
  </r>
  <r>
    <s v="TR125"/>
    <x v="3"/>
    <x v="4"/>
    <x v="4"/>
    <x v="2"/>
    <m/>
    <m/>
    <m/>
    <m/>
    <n v="100000"/>
    <x v="1"/>
  </r>
  <r>
    <s v="TR126"/>
    <x v="2"/>
    <x v="3"/>
    <x v="3"/>
    <x v="3"/>
    <n v="3500"/>
    <n v="3537"/>
    <n v="3431"/>
    <n v="3495"/>
    <n v="250000"/>
    <x v="1"/>
  </r>
  <r>
    <s v="TR126"/>
    <x v="0"/>
    <x v="1"/>
    <x v="1"/>
    <x v="1"/>
    <n v="1000"/>
    <n v="1057"/>
    <n v="977"/>
    <n v="973"/>
    <n v="250000"/>
    <x v="44"/>
  </r>
  <r>
    <s v="TR128"/>
    <x v="0"/>
    <x v="1"/>
    <x v="1"/>
    <x v="1"/>
    <n v="1000"/>
    <n v="1020"/>
    <n v="979"/>
    <n v="1014"/>
    <m/>
    <x v="45"/>
  </r>
  <r>
    <s v="TR129"/>
    <x v="2"/>
    <x v="0"/>
    <x v="0"/>
    <x v="0"/>
    <n v="3500"/>
    <n v="3561"/>
    <n v="3468"/>
    <n v="3470"/>
    <n v="250000"/>
    <x v="1"/>
  </r>
  <r>
    <s v="TR130"/>
    <x v="2"/>
    <x v="3"/>
    <x v="3"/>
    <x v="3"/>
    <n v="2500"/>
    <n v="2599"/>
    <n v="2484"/>
    <n v="2454"/>
    <m/>
    <x v="1"/>
  </r>
  <r>
    <s v="TR130"/>
    <x v="0"/>
    <x v="4"/>
    <x v="4"/>
    <x v="2"/>
    <n v="2500"/>
    <n v="2524"/>
    <n v="2429"/>
    <n v="2543"/>
    <n v="100000"/>
    <x v="46"/>
  </r>
  <r>
    <s v="TR132"/>
    <x v="0"/>
    <x v="0"/>
    <x v="0"/>
    <x v="0"/>
    <n v="2500"/>
    <n v="2542"/>
    <n v="2422"/>
    <n v="2542"/>
    <n v="100000"/>
    <x v="47"/>
  </r>
  <r>
    <s v="TR132"/>
    <x v="3"/>
    <x v="0"/>
    <x v="0"/>
    <x v="0"/>
    <m/>
    <m/>
    <m/>
    <m/>
    <m/>
    <x v="1"/>
  </r>
  <r>
    <s v="TR133"/>
    <x v="0"/>
    <x v="4"/>
    <x v="4"/>
    <x v="2"/>
    <n v="1000"/>
    <n v="1029"/>
    <n v="923"/>
    <n v="1028"/>
    <n v="500000"/>
    <x v="48"/>
  </r>
  <r>
    <s v="TR135"/>
    <x v="1"/>
    <x v="1"/>
    <x v="1"/>
    <x v="1"/>
    <m/>
    <m/>
    <m/>
    <m/>
    <n v="250000"/>
    <x v="1"/>
  </r>
  <r>
    <s v="TR136"/>
    <x v="3"/>
    <x v="1"/>
    <x v="1"/>
    <x v="1"/>
    <n v="3500"/>
    <n v="3585"/>
    <n v="3434"/>
    <n v="3548"/>
    <n v="500000"/>
    <x v="1"/>
  </r>
  <r>
    <s v="TR136"/>
    <x v="0"/>
    <x v="3"/>
    <x v="3"/>
    <x v="3"/>
    <n v="2500"/>
    <n v="2514"/>
    <n v="2423"/>
    <n v="2521"/>
    <n v="500000"/>
    <x v="49"/>
  </r>
  <r>
    <s v="TR137"/>
    <x v="1"/>
    <x v="4"/>
    <x v="4"/>
    <x v="2"/>
    <n v="3500"/>
    <n v="3584"/>
    <n v="3467"/>
    <n v="3519"/>
    <m/>
    <x v="50"/>
  </r>
  <r>
    <s v="TR138"/>
    <x v="3"/>
    <x v="0"/>
    <x v="0"/>
    <x v="0"/>
    <n v="2500"/>
    <n v="2543"/>
    <n v="2462"/>
    <n v="2476"/>
    <n v="250000"/>
    <x v="1"/>
  </r>
  <r>
    <s v="TR139"/>
    <x v="0"/>
    <x v="3"/>
    <x v="3"/>
    <x v="3"/>
    <n v="2500"/>
    <n v="2568"/>
    <n v="2444"/>
    <n v="2527"/>
    <m/>
    <x v="51"/>
  </r>
  <r>
    <s v="TR141"/>
    <x v="3"/>
    <x v="2"/>
    <x v="2"/>
    <x v="2"/>
    <n v="3500"/>
    <n v="3574"/>
    <n v="3421"/>
    <n v="3484"/>
    <n v="250000"/>
    <x v="1"/>
  </r>
  <r>
    <s v="TR141"/>
    <x v="1"/>
    <x v="2"/>
    <x v="2"/>
    <x v="2"/>
    <m/>
    <m/>
    <m/>
    <m/>
    <n v="500000"/>
    <x v="1"/>
  </r>
  <r>
    <s v="TR143"/>
    <x v="3"/>
    <x v="0"/>
    <x v="0"/>
    <x v="0"/>
    <m/>
    <m/>
    <m/>
    <m/>
    <n v="100000"/>
    <x v="1"/>
  </r>
  <r>
    <s v="TR143"/>
    <x v="0"/>
    <x v="0"/>
    <x v="0"/>
    <x v="0"/>
    <n v="2500"/>
    <n v="2568"/>
    <n v="2459"/>
    <n v="2492"/>
    <n v="100000"/>
    <x v="37"/>
  </r>
  <r>
    <s v="TR144"/>
    <x v="2"/>
    <x v="3"/>
    <x v="3"/>
    <x v="3"/>
    <n v="1000"/>
    <n v="1093"/>
    <n v="920"/>
    <n v="1007"/>
    <n v="250000"/>
    <x v="1"/>
  </r>
  <r>
    <s v="TR146"/>
    <x v="0"/>
    <x v="0"/>
    <x v="0"/>
    <x v="0"/>
    <n v="2500"/>
    <n v="2544"/>
    <n v="2432"/>
    <n v="2469"/>
    <m/>
    <x v="52"/>
  </r>
  <r>
    <s v="TR147"/>
    <x v="0"/>
    <x v="0"/>
    <x v="0"/>
    <x v="0"/>
    <n v="3500"/>
    <n v="3519"/>
    <n v="3488"/>
    <n v="3455"/>
    <n v="100000"/>
    <x v="53"/>
  </r>
  <r>
    <s v="TR148"/>
    <x v="0"/>
    <x v="2"/>
    <x v="2"/>
    <x v="2"/>
    <m/>
    <m/>
    <m/>
    <m/>
    <n v="250000"/>
    <x v="1"/>
  </r>
  <r>
    <s v="TR149"/>
    <x v="1"/>
    <x v="0"/>
    <x v="0"/>
    <x v="0"/>
    <n v="2500"/>
    <n v="2570"/>
    <n v="2449"/>
    <n v="2463"/>
    <m/>
    <x v="54"/>
  </r>
  <r>
    <s v="TR149"/>
    <x v="3"/>
    <x v="4"/>
    <x v="4"/>
    <x v="2"/>
    <n v="2500"/>
    <n v="2581"/>
    <n v="2466"/>
    <n v="2502"/>
    <n v="250000"/>
    <x v="1"/>
  </r>
  <r>
    <s v="TR151"/>
    <x v="0"/>
    <x v="1"/>
    <x v="1"/>
    <x v="1"/>
    <n v="2500"/>
    <n v="2567"/>
    <n v="2422"/>
    <n v="2458"/>
    <n v="100000"/>
    <x v="55"/>
  </r>
  <r>
    <s v="TR151"/>
    <x v="0"/>
    <x v="0"/>
    <x v="0"/>
    <x v="0"/>
    <n v="3500"/>
    <n v="3542"/>
    <n v="3463"/>
    <n v="3492"/>
    <n v="500000"/>
    <x v="56"/>
  </r>
  <r>
    <s v="TR153"/>
    <x v="3"/>
    <x v="2"/>
    <x v="2"/>
    <x v="2"/>
    <n v="2500"/>
    <n v="2550"/>
    <n v="2471"/>
    <n v="2507"/>
    <n v="500000"/>
    <x v="1"/>
  </r>
  <r>
    <s v="TR153"/>
    <x v="0"/>
    <x v="3"/>
    <x v="3"/>
    <x v="3"/>
    <n v="1000"/>
    <n v="1048"/>
    <n v="958"/>
    <n v="1006"/>
    <m/>
    <x v="57"/>
  </r>
  <r>
    <s v="TR154"/>
    <x v="3"/>
    <x v="1"/>
    <x v="1"/>
    <x v="1"/>
    <m/>
    <m/>
    <m/>
    <m/>
    <n v="100000"/>
    <x v="1"/>
  </r>
  <r>
    <s v="TR156"/>
    <x v="2"/>
    <x v="0"/>
    <x v="0"/>
    <x v="0"/>
    <m/>
    <m/>
    <m/>
    <m/>
    <n v="100000"/>
    <x v="1"/>
  </r>
  <r>
    <s v="TR157"/>
    <x v="1"/>
    <x v="1"/>
    <x v="1"/>
    <x v="1"/>
    <m/>
    <m/>
    <m/>
    <m/>
    <n v="500000"/>
    <x v="1"/>
  </r>
  <r>
    <s v="TR157"/>
    <x v="0"/>
    <x v="3"/>
    <x v="3"/>
    <x v="3"/>
    <n v="3500"/>
    <n v="3565"/>
    <n v="3448"/>
    <n v="3461"/>
    <n v="100000"/>
    <x v="58"/>
  </r>
  <r>
    <s v="TR159"/>
    <x v="1"/>
    <x v="2"/>
    <x v="2"/>
    <x v="2"/>
    <m/>
    <m/>
    <m/>
    <m/>
    <m/>
    <x v="1"/>
  </r>
  <r>
    <s v="TR159"/>
    <x v="2"/>
    <x v="1"/>
    <x v="1"/>
    <x v="1"/>
    <n v="3500"/>
    <n v="3532"/>
    <n v="3465"/>
    <n v="3482"/>
    <n v="250000"/>
    <x v="1"/>
  </r>
  <r>
    <s v="TR160"/>
    <x v="3"/>
    <x v="2"/>
    <x v="2"/>
    <x v="2"/>
    <n v="2500"/>
    <n v="2519"/>
    <n v="2450"/>
    <n v="2488"/>
    <m/>
    <x v="1"/>
  </r>
  <r>
    <s v="TR162"/>
    <x v="2"/>
    <x v="2"/>
    <x v="2"/>
    <x v="2"/>
    <n v="3500"/>
    <n v="3517"/>
    <n v="3479"/>
    <n v="3514"/>
    <n v="250000"/>
    <x v="1"/>
  </r>
  <r>
    <s v="TR162"/>
    <x v="1"/>
    <x v="3"/>
    <x v="3"/>
    <x v="3"/>
    <n v="3500"/>
    <n v="3564"/>
    <n v="3486"/>
    <n v="3534"/>
    <m/>
    <x v="59"/>
  </r>
  <r>
    <s v="TR164"/>
    <x v="1"/>
    <x v="2"/>
    <x v="2"/>
    <x v="2"/>
    <n v="2500"/>
    <n v="2544"/>
    <n v="2433"/>
    <n v="2469"/>
    <n v="250000"/>
    <x v="60"/>
  </r>
  <r>
    <s v="TR164"/>
    <x v="1"/>
    <x v="0"/>
    <x v="0"/>
    <x v="0"/>
    <n v="3500"/>
    <n v="3524"/>
    <n v="3490"/>
    <n v="3524"/>
    <n v="500000"/>
    <x v="61"/>
  </r>
  <r>
    <s v="TR165"/>
    <x v="2"/>
    <x v="0"/>
    <x v="0"/>
    <x v="0"/>
    <m/>
    <m/>
    <m/>
    <m/>
    <m/>
    <x v="1"/>
  </r>
  <r>
    <s v="TR166"/>
    <x v="0"/>
    <x v="3"/>
    <x v="3"/>
    <x v="3"/>
    <n v="1000"/>
    <n v="1017"/>
    <n v="967"/>
    <n v="1022"/>
    <m/>
    <x v="62"/>
  </r>
  <r>
    <s v="TR168"/>
    <x v="3"/>
    <x v="2"/>
    <x v="2"/>
    <x v="2"/>
    <m/>
    <m/>
    <m/>
    <m/>
    <n v="100000"/>
    <x v="1"/>
  </r>
  <r>
    <s v="TR169"/>
    <x v="1"/>
    <x v="3"/>
    <x v="3"/>
    <x v="3"/>
    <n v="3500"/>
    <n v="3586"/>
    <n v="3484"/>
    <n v="3479"/>
    <n v="500000"/>
    <x v="63"/>
  </r>
  <r>
    <s v="TR170"/>
    <x v="1"/>
    <x v="4"/>
    <x v="4"/>
    <x v="2"/>
    <n v="1000"/>
    <n v="1094"/>
    <n v="971"/>
    <n v="985"/>
    <m/>
    <x v="64"/>
  </r>
  <r>
    <s v="TR170"/>
    <x v="3"/>
    <x v="2"/>
    <x v="2"/>
    <x v="2"/>
    <n v="1000"/>
    <n v="1100"/>
    <n v="943"/>
    <n v="985"/>
    <n v="500000"/>
    <x v="1"/>
  </r>
  <r>
    <s v="TR171"/>
    <x v="1"/>
    <x v="1"/>
    <x v="1"/>
    <x v="1"/>
    <m/>
    <m/>
    <m/>
    <m/>
    <n v="100000"/>
    <x v="1"/>
  </r>
  <r>
    <s v="TR172"/>
    <x v="1"/>
    <x v="3"/>
    <x v="3"/>
    <x v="3"/>
    <n v="2500"/>
    <n v="2523"/>
    <n v="2464"/>
    <n v="2472"/>
    <n v="500000"/>
    <x v="65"/>
  </r>
  <r>
    <s v="TR173"/>
    <x v="1"/>
    <x v="2"/>
    <x v="2"/>
    <x v="2"/>
    <n v="3500"/>
    <n v="3560"/>
    <n v="3443"/>
    <n v="3538"/>
    <n v="250000"/>
    <x v="66"/>
  </r>
  <r>
    <s v="TR175"/>
    <x v="3"/>
    <x v="4"/>
    <x v="4"/>
    <x v="2"/>
    <m/>
    <m/>
    <m/>
    <m/>
    <m/>
    <x v="1"/>
  </r>
  <r>
    <s v="TR175"/>
    <x v="3"/>
    <x v="4"/>
    <x v="4"/>
    <x v="2"/>
    <n v="3500"/>
    <n v="3583"/>
    <n v="3485"/>
    <n v="3469"/>
    <n v="500000"/>
    <x v="1"/>
  </r>
  <r>
    <s v="TR176"/>
    <x v="1"/>
    <x v="2"/>
    <x v="2"/>
    <x v="2"/>
    <n v="2500"/>
    <n v="2545"/>
    <n v="2437"/>
    <n v="2527"/>
    <n v="100000"/>
    <x v="67"/>
  </r>
  <r>
    <s v="TR177"/>
    <x v="1"/>
    <x v="4"/>
    <x v="4"/>
    <x v="2"/>
    <n v="3500"/>
    <n v="3572"/>
    <n v="3461"/>
    <n v="3494"/>
    <n v="100000"/>
    <x v="68"/>
  </r>
  <r>
    <s v="TR179"/>
    <x v="3"/>
    <x v="1"/>
    <x v="1"/>
    <x v="1"/>
    <m/>
    <m/>
    <m/>
    <m/>
    <m/>
    <x v="1"/>
  </r>
  <r>
    <s v="TR179"/>
    <x v="2"/>
    <x v="1"/>
    <x v="1"/>
    <x v="1"/>
    <m/>
    <m/>
    <m/>
    <m/>
    <n v="100000"/>
    <x v="1"/>
  </r>
  <r>
    <s v="TR180"/>
    <x v="1"/>
    <x v="4"/>
    <x v="4"/>
    <x v="2"/>
    <n v="3500"/>
    <n v="3515"/>
    <n v="3487"/>
    <n v="3478"/>
    <n v="500000"/>
    <x v="69"/>
  </r>
  <r>
    <s v="TR182"/>
    <x v="3"/>
    <x v="0"/>
    <x v="0"/>
    <x v="0"/>
    <n v="1000"/>
    <n v="1059"/>
    <n v="987"/>
    <n v="1049"/>
    <n v="500000"/>
    <x v="1"/>
  </r>
  <r>
    <s v="TR183"/>
    <x v="0"/>
    <x v="1"/>
    <x v="1"/>
    <x v="1"/>
    <n v="3500"/>
    <n v="3583"/>
    <n v="3432"/>
    <n v="3528"/>
    <n v="100000"/>
    <x v="70"/>
  </r>
  <r>
    <s v="TR184"/>
    <x v="1"/>
    <x v="2"/>
    <x v="2"/>
    <x v="2"/>
    <n v="3500"/>
    <n v="3585"/>
    <n v="3426"/>
    <n v="3545"/>
    <n v="100000"/>
    <x v="71"/>
  </r>
  <r>
    <s v="TR185"/>
    <x v="3"/>
    <x v="2"/>
    <x v="2"/>
    <x v="2"/>
    <m/>
    <m/>
    <m/>
    <m/>
    <n v="250000"/>
    <x v="1"/>
  </r>
  <r>
    <s v="TR185"/>
    <x v="2"/>
    <x v="2"/>
    <x v="2"/>
    <x v="2"/>
    <n v="3500"/>
    <n v="3565"/>
    <n v="3476"/>
    <n v="3539"/>
    <n v="500000"/>
    <x v="1"/>
  </r>
  <r>
    <s v="TR186"/>
    <x v="0"/>
    <x v="3"/>
    <x v="3"/>
    <x v="3"/>
    <n v="3500"/>
    <n v="3593"/>
    <n v="3465"/>
    <n v="3464"/>
    <n v="500000"/>
    <x v="72"/>
  </r>
  <r>
    <s v="TR188"/>
    <x v="3"/>
    <x v="1"/>
    <x v="1"/>
    <x v="1"/>
    <n v="1000"/>
    <n v="1040"/>
    <n v="970"/>
    <n v="950"/>
    <m/>
    <x v="1"/>
  </r>
  <r>
    <s v="TR188"/>
    <x v="0"/>
    <x v="3"/>
    <x v="3"/>
    <x v="3"/>
    <m/>
    <m/>
    <m/>
    <m/>
    <n v="100000"/>
    <x v="1"/>
  </r>
  <r>
    <s v="TR190"/>
    <x v="1"/>
    <x v="0"/>
    <x v="0"/>
    <x v="0"/>
    <n v="2500"/>
    <n v="2541"/>
    <n v="2450"/>
    <n v="2486"/>
    <n v="500000"/>
    <x v="73"/>
  </r>
  <r>
    <s v="TR191"/>
    <x v="2"/>
    <x v="3"/>
    <x v="3"/>
    <x v="3"/>
    <n v="2500"/>
    <n v="2514"/>
    <n v="2470"/>
    <n v="2503"/>
    <m/>
    <x v="1"/>
  </r>
  <r>
    <s v="TR192"/>
    <x v="0"/>
    <x v="4"/>
    <x v="4"/>
    <x v="2"/>
    <n v="3500"/>
    <n v="3549"/>
    <n v="3436"/>
    <n v="3520"/>
    <n v="250000"/>
    <x v="74"/>
  </r>
  <r>
    <s v="TR192"/>
    <x v="2"/>
    <x v="2"/>
    <x v="2"/>
    <x v="2"/>
    <m/>
    <m/>
    <m/>
    <m/>
    <n v="500000"/>
    <x v="1"/>
  </r>
  <r>
    <s v="TR194"/>
    <x v="0"/>
    <x v="0"/>
    <x v="0"/>
    <x v="0"/>
    <n v="3500"/>
    <n v="3563"/>
    <n v="3449"/>
    <n v="3513"/>
    <n v="250000"/>
    <x v="75"/>
  </r>
  <r>
    <s v="TR194"/>
    <x v="1"/>
    <x v="3"/>
    <x v="3"/>
    <x v="3"/>
    <n v="3500"/>
    <n v="3531"/>
    <n v="3452"/>
    <n v="3520"/>
    <n v="100000"/>
    <x v="76"/>
  </r>
  <r>
    <s v="TR195"/>
    <x v="2"/>
    <x v="4"/>
    <x v="4"/>
    <x v="2"/>
    <n v="1000"/>
    <n v="1088"/>
    <n v="935"/>
    <n v="1031"/>
    <n v="500000"/>
    <x v="1"/>
  </r>
  <r>
    <s v="TR197"/>
    <x v="3"/>
    <x v="2"/>
    <x v="2"/>
    <x v="2"/>
    <n v="1000"/>
    <n v="1080"/>
    <n v="923"/>
    <n v="970"/>
    <n v="500000"/>
    <x v="1"/>
  </r>
  <r>
    <s v="TR198"/>
    <x v="1"/>
    <x v="1"/>
    <x v="1"/>
    <x v="1"/>
    <n v="2500"/>
    <n v="2590"/>
    <n v="2425"/>
    <n v="2543"/>
    <n v="250000"/>
    <x v="77"/>
  </r>
  <r>
    <s v="TR199"/>
    <x v="1"/>
    <x v="0"/>
    <x v="0"/>
    <x v="0"/>
    <m/>
    <m/>
    <m/>
    <m/>
    <n v="250000"/>
    <x v="1"/>
  </r>
  <r>
    <s v="TR200"/>
    <x v="2"/>
    <x v="3"/>
    <x v="3"/>
    <x v="3"/>
    <n v="1000"/>
    <n v="1069"/>
    <n v="951"/>
    <n v="1026"/>
    <n v="250000"/>
    <x v="1"/>
  </r>
  <r>
    <s v="TR201"/>
    <x v="3"/>
    <x v="2"/>
    <x v="2"/>
    <x v="2"/>
    <n v="3500"/>
    <n v="3588"/>
    <n v="3489"/>
    <n v="3497"/>
    <n v="100000"/>
    <x v="1"/>
  </r>
  <r>
    <s v="TR201"/>
    <x v="2"/>
    <x v="2"/>
    <x v="2"/>
    <x v="2"/>
    <m/>
    <m/>
    <m/>
    <m/>
    <m/>
    <x v="1"/>
  </r>
  <r>
    <s v="TR202"/>
    <x v="0"/>
    <x v="1"/>
    <x v="1"/>
    <x v="1"/>
    <n v="3500"/>
    <n v="3555"/>
    <n v="3421"/>
    <n v="3463"/>
    <n v="250000"/>
    <x v="78"/>
  </r>
  <r>
    <s v="TR203"/>
    <x v="2"/>
    <x v="1"/>
    <x v="1"/>
    <x v="1"/>
    <n v="1000"/>
    <n v="1048"/>
    <n v="952"/>
    <n v="1041"/>
    <n v="250000"/>
    <x v="1"/>
  </r>
  <r>
    <s v="TR205"/>
    <x v="2"/>
    <x v="3"/>
    <x v="3"/>
    <x v="3"/>
    <m/>
    <m/>
    <m/>
    <m/>
    <n v="500000"/>
    <x v="1"/>
  </r>
  <r>
    <s v="TR205"/>
    <x v="1"/>
    <x v="0"/>
    <x v="0"/>
    <x v="0"/>
    <n v="2500"/>
    <n v="2524"/>
    <n v="2441"/>
    <n v="2475"/>
    <m/>
    <x v="79"/>
  </r>
  <r>
    <s v="TR206"/>
    <x v="1"/>
    <x v="3"/>
    <x v="3"/>
    <x v="3"/>
    <m/>
    <m/>
    <m/>
    <m/>
    <n v="500000"/>
    <x v="1"/>
  </r>
  <r>
    <s v="TR208"/>
    <x v="1"/>
    <x v="2"/>
    <x v="2"/>
    <x v="2"/>
    <m/>
    <m/>
    <m/>
    <m/>
    <m/>
    <x v="1"/>
  </r>
  <r>
    <s v="TR208"/>
    <x v="2"/>
    <x v="0"/>
    <x v="0"/>
    <x v="0"/>
    <n v="1000"/>
    <n v="1080"/>
    <n v="948"/>
    <n v="994"/>
    <n v="500000"/>
    <x v="1"/>
  </r>
  <r>
    <s v="TR210"/>
    <x v="2"/>
    <x v="0"/>
    <x v="0"/>
    <x v="0"/>
    <n v="3500"/>
    <n v="3518"/>
    <n v="3443"/>
    <n v="3451"/>
    <m/>
    <x v="1"/>
  </r>
  <r>
    <s v="TR210"/>
    <x v="1"/>
    <x v="2"/>
    <x v="2"/>
    <x v="2"/>
    <n v="2500"/>
    <n v="2552"/>
    <n v="2464"/>
    <n v="2499"/>
    <n v="250000"/>
    <x v="80"/>
  </r>
  <r>
    <s v="TR211"/>
    <x v="1"/>
    <x v="4"/>
    <x v="4"/>
    <x v="2"/>
    <m/>
    <m/>
    <m/>
    <m/>
    <n v="250000"/>
    <x v="1"/>
  </r>
  <r>
    <s v="TR213"/>
    <x v="2"/>
    <x v="1"/>
    <x v="1"/>
    <x v="1"/>
    <n v="2500"/>
    <n v="2589"/>
    <n v="2426"/>
    <n v="2523"/>
    <n v="500000"/>
    <x v="1"/>
  </r>
  <r>
    <s v="TR213"/>
    <x v="2"/>
    <x v="1"/>
    <x v="1"/>
    <x v="1"/>
    <n v="2500"/>
    <n v="2576"/>
    <n v="2421"/>
    <n v="2462"/>
    <n v="100000"/>
    <x v="1"/>
  </r>
  <r>
    <s v="TR215"/>
    <x v="3"/>
    <x v="4"/>
    <x v="4"/>
    <x v="2"/>
    <m/>
    <m/>
    <m/>
    <m/>
    <n v="500000"/>
    <x v="1"/>
  </r>
  <r>
    <s v="TR215"/>
    <x v="0"/>
    <x v="3"/>
    <x v="3"/>
    <x v="3"/>
    <m/>
    <m/>
    <m/>
    <m/>
    <n v="250000"/>
    <x v="1"/>
  </r>
  <r>
    <s v="TR217"/>
    <x v="1"/>
    <x v="4"/>
    <x v="4"/>
    <x v="2"/>
    <n v="2500"/>
    <n v="2595"/>
    <n v="2451"/>
    <n v="2466"/>
    <n v="500000"/>
    <x v="81"/>
  </r>
  <r>
    <s v="TR218"/>
    <x v="2"/>
    <x v="2"/>
    <x v="2"/>
    <x v="2"/>
    <n v="1000"/>
    <n v="1037"/>
    <n v="975"/>
    <n v="1047"/>
    <n v="250000"/>
    <x v="1"/>
  </r>
  <r>
    <s v="TR218"/>
    <x v="0"/>
    <x v="1"/>
    <x v="1"/>
    <x v="1"/>
    <n v="1000"/>
    <n v="1055"/>
    <n v="935"/>
    <n v="1033"/>
    <n v="500000"/>
    <x v="82"/>
  </r>
  <r>
    <s v="TR220"/>
    <x v="1"/>
    <x v="1"/>
    <x v="1"/>
    <x v="1"/>
    <n v="3500"/>
    <n v="3572"/>
    <n v="3454"/>
    <n v="3471"/>
    <n v="250000"/>
    <x v="3"/>
  </r>
  <r>
    <s v="TR221"/>
    <x v="0"/>
    <x v="0"/>
    <x v="0"/>
    <x v="0"/>
    <n v="1000"/>
    <n v="1054"/>
    <n v="922"/>
    <n v="1011"/>
    <m/>
    <x v="83"/>
  </r>
  <r>
    <s v="TR221"/>
    <x v="3"/>
    <x v="3"/>
    <x v="3"/>
    <x v="3"/>
    <m/>
    <m/>
    <m/>
    <m/>
    <n v="250000"/>
    <x v="1"/>
  </r>
  <r>
    <s v="TR222"/>
    <x v="1"/>
    <x v="4"/>
    <x v="4"/>
    <x v="2"/>
    <n v="3500"/>
    <n v="3517"/>
    <n v="3462"/>
    <n v="3491"/>
    <n v="500000"/>
    <x v="84"/>
  </r>
  <r>
    <s v="TR224"/>
    <x v="2"/>
    <x v="3"/>
    <x v="3"/>
    <x v="3"/>
    <n v="1000"/>
    <n v="1036"/>
    <n v="932"/>
    <n v="953"/>
    <m/>
    <x v="1"/>
  </r>
  <r>
    <s v="TR224"/>
    <x v="0"/>
    <x v="1"/>
    <x v="1"/>
    <x v="1"/>
    <n v="3500"/>
    <n v="3565"/>
    <n v="3452"/>
    <n v="3529"/>
    <n v="250000"/>
    <x v="85"/>
  </r>
  <r>
    <s v="TR225"/>
    <x v="2"/>
    <x v="4"/>
    <x v="4"/>
    <x v="2"/>
    <n v="3500"/>
    <n v="3574"/>
    <n v="3488"/>
    <n v="3483"/>
    <n v="500000"/>
    <x v="1"/>
  </r>
  <r>
    <s v="TR226"/>
    <x v="3"/>
    <x v="1"/>
    <x v="1"/>
    <x v="1"/>
    <m/>
    <m/>
    <m/>
    <m/>
    <n v="500000"/>
    <x v="1"/>
  </r>
  <r>
    <s v="TR228"/>
    <x v="0"/>
    <x v="0"/>
    <x v="0"/>
    <x v="0"/>
    <n v="2500"/>
    <n v="2568"/>
    <n v="2459"/>
    <n v="2461"/>
    <n v="500000"/>
    <x v="86"/>
  </r>
  <r>
    <s v="TR229"/>
    <x v="0"/>
    <x v="1"/>
    <x v="1"/>
    <x v="1"/>
    <n v="3500"/>
    <n v="3551"/>
    <n v="3445"/>
    <n v="3497"/>
    <n v="250000"/>
    <x v="87"/>
  </r>
  <r>
    <s v="TR229"/>
    <x v="1"/>
    <x v="4"/>
    <x v="4"/>
    <x v="2"/>
    <n v="3500"/>
    <n v="3520"/>
    <n v="3430"/>
    <n v="3483"/>
    <m/>
    <x v="88"/>
  </r>
  <r>
    <s v="TR230"/>
    <x v="0"/>
    <x v="3"/>
    <x v="3"/>
    <x v="3"/>
    <m/>
    <m/>
    <m/>
    <m/>
    <n v="250000"/>
    <x v="1"/>
  </r>
  <r>
    <s v="TR232"/>
    <x v="0"/>
    <x v="2"/>
    <x v="2"/>
    <x v="2"/>
    <n v="3500"/>
    <n v="3578"/>
    <n v="3425"/>
    <n v="3463"/>
    <n v="250000"/>
    <x v="89"/>
  </r>
  <r>
    <s v="TR232"/>
    <x v="3"/>
    <x v="0"/>
    <x v="0"/>
    <x v="0"/>
    <n v="2500"/>
    <n v="2579"/>
    <n v="2426"/>
    <n v="2550"/>
    <n v="100000"/>
    <x v="1"/>
  </r>
  <r>
    <s v="TR233"/>
    <x v="3"/>
    <x v="0"/>
    <x v="0"/>
    <x v="0"/>
    <n v="1000"/>
    <n v="1027"/>
    <n v="944"/>
    <n v="1049"/>
    <n v="250000"/>
    <x v="1"/>
  </r>
  <r>
    <s v="TR234"/>
    <x v="0"/>
    <x v="1"/>
    <x v="1"/>
    <x v="1"/>
    <m/>
    <m/>
    <m/>
    <m/>
    <n v="250000"/>
    <x v="1"/>
  </r>
  <r>
    <s v="TR236"/>
    <x v="3"/>
    <x v="2"/>
    <x v="2"/>
    <x v="2"/>
    <n v="1000"/>
    <n v="1019"/>
    <n v="955"/>
    <n v="997"/>
    <n v="250000"/>
    <x v="1"/>
  </r>
  <r>
    <s v="TR236"/>
    <x v="1"/>
    <x v="2"/>
    <x v="2"/>
    <x v="2"/>
    <n v="1000"/>
    <n v="1044"/>
    <n v="969"/>
    <n v="958"/>
    <n v="100000"/>
    <x v="90"/>
  </r>
  <r>
    <s v="TR237"/>
    <x v="3"/>
    <x v="0"/>
    <x v="0"/>
    <x v="0"/>
    <n v="2500"/>
    <n v="2577"/>
    <n v="2426"/>
    <n v="2527"/>
    <n v="250000"/>
    <x v="1"/>
  </r>
  <r>
    <s v="TR238"/>
    <x v="2"/>
    <x v="0"/>
    <x v="0"/>
    <x v="0"/>
    <n v="3500"/>
    <n v="3544"/>
    <n v="3442"/>
    <n v="3465"/>
    <n v="500000"/>
    <x v="1"/>
  </r>
  <r>
    <s v="TR240"/>
    <x v="0"/>
    <x v="3"/>
    <x v="3"/>
    <x v="3"/>
    <n v="1000"/>
    <n v="1032"/>
    <n v="986"/>
    <n v="983"/>
    <m/>
    <x v="91"/>
  </r>
  <r>
    <s v="TR240"/>
    <x v="0"/>
    <x v="1"/>
    <x v="1"/>
    <x v="1"/>
    <n v="2500"/>
    <n v="2574"/>
    <n v="2481"/>
    <n v="2508"/>
    <n v="250000"/>
    <x v="92"/>
  </r>
  <r>
    <s v="TR241"/>
    <x v="2"/>
    <x v="2"/>
    <x v="2"/>
    <x v="2"/>
    <n v="3500"/>
    <n v="3519"/>
    <n v="3469"/>
    <n v="3550"/>
    <n v="100000"/>
    <x v="1"/>
  </r>
  <r>
    <s v="TR243"/>
    <x v="3"/>
    <x v="4"/>
    <x v="4"/>
    <x v="2"/>
    <n v="1000"/>
    <n v="1045"/>
    <n v="987"/>
    <n v="950"/>
    <m/>
    <x v="1"/>
  </r>
  <r>
    <s v="TR243"/>
    <x v="0"/>
    <x v="4"/>
    <x v="4"/>
    <x v="2"/>
    <n v="2500"/>
    <n v="2516"/>
    <n v="2439"/>
    <n v="2451"/>
    <n v="500000"/>
    <x v="93"/>
  </r>
  <r>
    <s v="TR245"/>
    <x v="2"/>
    <x v="0"/>
    <x v="0"/>
    <x v="0"/>
    <n v="3500"/>
    <n v="3599"/>
    <n v="3460"/>
    <n v="3502"/>
    <m/>
    <x v="1"/>
  </r>
  <r>
    <s v="TR246"/>
    <x v="3"/>
    <x v="3"/>
    <x v="3"/>
    <x v="3"/>
    <m/>
    <m/>
    <m/>
    <m/>
    <n v="100000"/>
    <x v="1"/>
  </r>
  <r>
    <s v="TR246"/>
    <x v="1"/>
    <x v="2"/>
    <x v="2"/>
    <x v="2"/>
    <m/>
    <m/>
    <m/>
    <m/>
    <n v="500000"/>
    <x v="1"/>
  </r>
  <r>
    <s v="TR247"/>
    <x v="2"/>
    <x v="0"/>
    <x v="0"/>
    <x v="0"/>
    <n v="2500"/>
    <n v="2556"/>
    <n v="2444"/>
    <n v="2481"/>
    <n v="500000"/>
    <x v="1"/>
  </r>
  <r>
    <s v="TR248"/>
    <x v="0"/>
    <x v="1"/>
    <x v="1"/>
    <x v="1"/>
    <n v="1000"/>
    <n v="1070"/>
    <n v="923"/>
    <n v="973"/>
    <n v="500000"/>
    <x v="44"/>
  </r>
  <r>
    <s v="TR249"/>
    <x v="3"/>
    <x v="3"/>
    <x v="3"/>
    <x v="3"/>
    <n v="3500"/>
    <n v="3547"/>
    <n v="3481"/>
    <n v="3542"/>
    <n v="250000"/>
    <x v="1"/>
  </r>
  <r>
    <s v="TR251"/>
    <x v="2"/>
    <x v="1"/>
    <x v="1"/>
    <x v="1"/>
    <n v="1000"/>
    <n v="1020"/>
    <n v="989"/>
    <n v="999"/>
    <n v="100000"/>
    <x v="1"/>
  </r>
  <r>
    <s v="TR252"/>
    <x v="3"/>
    <x v="1"/>
    <x v="1"/>
    <x v="1"/>
    <m/>
    <m/>
    <m/>
    <m/>
    <n v="500000"/>
    <x v="1"/>
  </r>
  <r>
    <s v="TR252"/>
    <x v="0"/>
    <x v="1"/>
    <x v="1"/>
    <x v="1"/>
    <n v="2500"/>
    <n v="2532"/>
    <n v="2436"/>
    <n v="2491"/>
    <n v="100000"/>
    <x v="94"/>
  </r>
  <r>
    <s v="TR254"/>
    <x v="3"/>
    <x v="1"/>
    <x v="1"/>
    <x v="1"/>
    <m/>
    <m/>
    <m/>
    <m/>
    <m/>
    <x v="1"/>
  </r>
  <r>
    <s v="TR255"/>
    <x v="2"/>
    <x v="1"/>
    <x v="1"/>
    <x v="1"/>
    <n v="3500"/>
    <n v="3557"/>
    <n v="3476"/>
    <n v="3494"/>
    <n v="250000"/>
    <x v="1"/>
  </r>
  <r>
    <s v="TR255"/>
    <x v="2"/>
    <x v="4"/>
    <x v="4"/>
    <x v="2"/>
    <n v="1000"/>
    <n v="1062"/>
    <n v="932"/>
    <n v="986"/>
    <m/>
    <x v="1"/>
  </r>
  <r>
    <s v="TR256"/>
    <x v="2"/>
    <x v="4"/>
    <x v="4"/>
    <x v="2"/>
    <n v="2500"/>
    <n v="2532"/>
    <n v="2458"/>
    <n v="2525"/>
    <m/>
    <x v="1"/>
  </r>
  <r>
    <s v="TR257"/>
    <x v="2"/>
    <x v="3"/>
    <x v="3"/>
    <x v="3"/>
    <n v="1000"/>
    <n v="1057"/>
    <n v="989"/>
    <n v="1006"/>
    <m/>
    <x v="1"/>
  </r>
  <r>
    <s v="TR259"/>
    <x v="1"/>
    <x v="2"/>
    <x v="2"/>
    <x v="2"/>
    <m/>
    <m/>
    <m/>
    <m/>
    <n v="100000"/>
    <x v="1"/>
  </r>
  <r>
    <s v="TR260"/>
    <x v="1"/>
    <x v="2"/>
    <x v="2"/>
    <x v="2"/>
    <n v="3500"/>
    <n v="3580"/>
    <n v="3427"/>
    <n v="3455"/>
    <n v="500000"/>
    <x v="95"/>
  </r>
  <r>
    <s v="TR260"/>
    <x v="1"/>
    <x v="3"/>
    <x v="3"/>
    <x v="3"/>
    <n v="1000"/>
    <n v="1050"/>
    <n v="977"/>
    <n v="951"/>
    <n v="250000"/>
    <x v="96"/>
  </r>
  <r>
    <s v="TR262"/>
    <x v="0"/>
    <x v="2"/>
    <x v="2"/>
    <x v="2"/>
    <n v="1000"/>
    <n v="1047"/>
    <n v="926"/>
    <n v="1037"/>
    <m/>
    <x v="97"/>
  </r>
  <r>
    <s v="TR262"/>
    <x v="0"/>
    <x v="3"/>
    <x v="3"/>
    <x v="3"/>
    <n v="3500"/>
    <n v="3569"/>
    <n v="3450"/>
    <n v="3453"/>
    <n v="500000"/>
    <x v="98"/>
  </r>
  <r>
    <s v="TR263"/>
    <x v="0"/>
    <x v="2"/>
    <x v="2"/>
    <x v="2"/>
    <m/>
    <m/>
    <m/>
    <m/>
    <n v="250000"/>
    <x v="1"/>
  </r>
  <r>
    <s v="TR264"/>
    <x v="0"/>
    <x v="0"/>
    <x v="0"/>
    <x v="0"/>
    <n v="1000"/>
    <n v="1068"/>
    <n v="954"/>
    <n v="1037"/>
    <n v="100000"/>
    <x v="99"/>
  </r>
  <r>
    <s v="TR266"/>
    <x v="0"/>
    <x v="1"/>
    <x v="1"/>
    <x v="1"/>
    <n v="3500"/>
    <n v="3554"/>
    <n v="3437"/>
    <n v="3509"/>
    <n v="100000"/>
    <x v="100"/>
  </r>
  <r>
    <s v="TR267"/>
    <x v="1"/>
    <x v="0"/>
    <x v="0"/>
    <x v="0"/>
    <n v="2500"/>
    <n v="2525"/>
    <n v="2429"/>
    <n v="2483"/>
    <m/>
    <x v="101"/>
  </r>
  <r>
    <s v="TR267"/>
    <x v="2"/>
    <x v="2"/>
    <x v="2"/>
    <x v="2"/>
    <n v="3500"/>
    <n v="3527"/>
    <n v="3463"/>
    <n v="3529"/>
    <m/>
    <x v="1"/>
  </r>
  <r>
    <s v="TR268"/>
    <x v="0"/>
    <x v="3"/>
    <x v="3"/>
    <x v="3"/>
    <n v="2500"/>
    <n v="2596"/>
    <n v="2482"/>
    <n v="2516"/>
    <n v="100000"/>
    <x v="102"/>
  </r>
  <r>
    <s v="TR270"/>
    <x v="3"/>
    <x v="4"/>
    <x v="4"/>
    <x v="2"/>
    <m/>
    <m/>
    <m/>
    <m/>
    <m/>
    <x v="1"/>
  </r>
  <r>
    <s v="TR271"/>
    <x v="3"/>
    <x v="1"/>
    <x v="1"/>
    <x v="1"/>
    <n v="1000"/>
    <n v="1040"/>
    <n v="952"/>
    <n v="1000"/>
    <n v="100000"/>
    <x v="1"/>
  </r>
  <r>
    <s v="TR271"/>
    <x v="0"/>
    <x v="3"/>
    <x v="3"/>
    <x v="3"/>
    <n v="3500"/>
    <n v="3518"/>
    <n v="3484"/>
    <n v="3516"/>
    <n v="500000"/>
    <x v="103"/>
  </r>
  <r>
    <s v="TR273"/>
    <x v="2"/>
    <x v="4"/>
    <x v="4"/>
    <x v="2"/>
    <m/>
    <m/>
    <m/>
    <m/>
    <n v="100000"/>
    <x v="1"/>
  </r>
  <r>
    <s v="TR274"/>
    <x v="2"/>
    <x v="0"/>
    <x v="0"/>
    <x v="0"/>
    <m/>
    <m/>
    <m/>
    <m/>
    <n v="250000"/>
    <x v="1"/>
  </r>
  <r>
    <s v="TR275"/>
    <x v="0"/>
    <x v="4"/>
    <x v="4"/>
    <x v="2"/>
    <m/>
    <m/>
    <m/>
    <m/>
    <n v="250000"/>
    <x v="1"/>
  </r>
  <r>
    <s v="TR276"/>
    <x v="1"/>
    <x v="0"/>
    <x v="0"/>
    <x v="0"/>
    <n v="2500"/>
    <n v="2526"/>
    <n v="2448"/>
    <n v="2501"/>
    <m/>
    <x v="104"/>
  </r>
  <r>
    <s v="TR277"/>
    <x v="1"/>
    <x v="0"/>
    <x v="0"/>
    <x v="0"/>
    <n v="3500"/>
    <n v="3539"/>
    <n v="3490"/>
    <n v="3519"/>
    <m/>
    <x v="105"/>
  </r>
  <r>
    <s v="TR277"/>
    <x v="3"/>
    <x v="4"/>
    <x v="4"/>
    <x v="2"/>
    <m/>
    <m/>
    <m/>
    <m/>
    <n v="100000"/>
    <x v="1"/>
  </r>
  <r>
    <s v="TR279"/>
    <x v="3"/>
    <x v="4"/>
    <x v="4"/>
    <x v="2"/>
    <n v="2500"/>
    <n v="2569"/>
    <n v="2424"/>
    <n v="2543"/>
    <n v="250000"/>
    <x v="1"/>
  </r>
  <r>
    <s v="TR280"/>
    <x v="2"/>
    <x v="0"/>
    <x v="0"/>
    <x v="0"/>
    <n v="1000"/>
    <n v="1080"/>
    <n v="982"/>
    <n v="1020"/>
    <n v="500000"/>
    <x v="1"/>
  </r>
  <r>
    <s v="TR281"/>
    <x v="3"/>
    <x v="1"/>
    <x v="1"/>
    <x v="1"/>
    <n v="2500"/>
    <n v="2579"/>
    <n v="2452"/>
    <n v="2492"/>
    <m/>
    <x v="1"/>
  </r>
  <r>
    <s v="TR281"/>
    <x v="1"/>
    <x v="2"/>
    <x v="2"/>
    <x v="2"/>
    <m/>
    <m/>
    <m/>
    <m/>
    <n v="250000"/>
    <x v="1"/>
  </r>
  <r>
    <s v="TR283"/>
    <x v="2"/>
    <x v="4"/>
    <x v="4"/>
    <x v="2"/>
    <m/>
    <m/>
    <m/>
    <m/>
    <n v="500000"/>
    <x v="1"/>
  </r>
  <r>
    <s v="TR284"/>
    <x v="0"/>
    <x v="4"/>
    <x v="4"/>
    <x v="2"/>
    <n v="2500"/>
    <n v="2584"/>
    <n v="2453"/>
    <n v="2497"/>
    <n v="500000"/>
    <x v="106"/>
  </r>
  <r>
    <s v="TR284"/>
    <x v="0"/>
    <x v="4"/>
    <x v="4"/>
    <x v="2"/>
    <n v="1000"/>
    <n v="1033"/>
    <n v="958"/>
    <n v="963"/>
    <n v="250000"/>
    <x v="107"/>
  </r>
  <r>
    <s v="TR286"/>
    <x v="3"/>
    <x v="3"/>
    <x v="3"/>
    <x v="3"/>
    <n v="3500"/>
    <n v="3522"/>
    <n v="3421"/>
    <n v="3485"/>
    <n v="250000"/>
    <x v="1"/>
  </r>
  <r>
    <s v="TR286"/>
    <x v="0"/>
    <x v="3"/>
    <x v="3"/>
    <x v="3"/>
    <n v="3500"/>
    <n v="3529"/>
    <n v="3424"/>
    <n v="3542"/>
    <n v="500000"/>
    <x v="108"/>
  </r>
  <r>
    <s v="TR287"/>
    <x v="2"/>
    <x v="0"/>
    <x v="0"/>
    <x v="0"/>
    <n v="2500"/>
    <n v="2574"/>
    <n v="2454"/>
    <n v="2511"/>
    <n v="250000"/>
    <x v="1"/>
  </r>
  <r>
    <s v="TR289"/>
    <x v="3"/>
    <x v="3"/>
    <x v="3"/>
    <x v="3"/>
    <n v="2500"/>
    <n v="2556"/>
    <n v="2445"/>
    <n v="2547"/>
    <n v="500000"/>
    <x v="1"/>
  </r>
  <r>
    <s v="TR290"/>
    <x v="1"/>
    <x v="0"/>
    <x v="0"/>
    <x v="0"/>
    <n v="3500"/>
    <n v="3566"/>
    <n v="3459"/>
    <n v="3463"/>
    <n v="500000"/>
    <x v="109"/>
  </r>
  <r>
    <s v="TR291"/>
    <x v="0"/>
    <x v="3"/>
    <x v="3"/>
    <x v="3"/>
    <n v="3500"/>
    <n v="3599"/>
    <n v="3464"/>
    <n v="3518"/>
    <m/>
    <x v="110"/>
  </r>
  <r>
    <s v="TR292"/>
    <x v="3"/>
    <x v="1"/>
    <x v="1"/>
    <x v="1"/>
    <n v="3500"/>
    <n v="3588"/>
    <n v="3475"/>
    <n v="3450"/>
    <n v="500000"/>
    <x v="1"/>
  </r>
  <r>
    <s v="TR292"/>
    <x v="3"/>
    <x v="1"/>
    <x v="1"/>
    <x v="1"/>
    <n v="2500"/>
    <n v="2530"/>
    <n v="2436"/>
    <n v="2537"/>
    <n v="500000"/>
    <x v="1"/>
  </r>
  <r>
    <s v="TR294"/>
    <x v="3"/>
    <x v="0"/>
    <x v="0"/>
    <x v="0"/>
    <n v="1000"/>
    <n v="1012"/>
    <n v="965"/>
    <n v="975"/>
    <n v="100000"/>
    <x v="1"/>
  </r>
  <r>
    <s v="TR295"/>
    <x v="2"/>
    <x v="1"/>
    <x v="1"/>
    <x v="1"/>
    <n v="1000"/>
    <n v="1026"/>
    <n v="949"/>
    <n v="1046"/>
    <m/>
    <x v="1"/>
  </r>
  <r>
    <s v="TR296"/>
    <x v="3"/>
    <x v="0"/>
    <x v="0"/>
    <x v="0"/>
    <n v="3500"/>
    <n v="3530"/>
    <n v="3459"/>
    <n v="3494"/>
    <n v="250000"/>
    <x v="1"/>
  </r>
  <r>
    <s v="TR297"/>
    <x v="3"/>
    <x v="0"/>
    <x v="0"/>
    <x v="0"/>
    <n v="2500"/>
    <n v="2556"/>
    <n v="2462"/>
    <n v="2468"/>
    <n v="500000"/>
    <x v="1"/>
  </r>
  <r>
    <s v="TR298"/>
    <x v="3"/>
    <x v="1"/>
    <x v="1"/>
    <x v="1"/>
    <m/>
    <m/>
    <m/>
    <m/>
    <n v="250000"/>
    <x v="1"/>
  </r>
  <r>
    <s v="TR299"/>
    <x v="1"/>
    <x v="3"/>
    <x v="3"/>
    <x v="3"/>
    <m/>
    <m/>
    <m/>
    <m/>
    <n v="100000"/>
    <x v="1"/>
  </r>
  <r>
    <s v="TR300"/>
    <x v="0"/>
    <x v="4"/>
    <x v="4"/>
    <x v="2"/>
    <n v="2500"/>
    <n v="2510"/>
    <n v="2484"/>
    <n v="2519"/>
    <n v="250000"/>
    <x v="111"/>
  </r>
  <r>
    <s v="TR300"/>
    <x v="0"/>
    <x v="2"/>
    <x v="2"/>
    <x v="2"/>
    <n v="3500"/>
    <n v="3600"/>
    <n v="3472"/>
    <n v="3523"/>
    <n v="250000"/>
    <x v="112"/>
  </r>
  <r>
    <s v="TR301"/>
    <x v="1"/>
    <x v="4"/>
    <x v="4"/>
    <x v="2"/>
    <n v="1000"/>
    <n v="1048"/>
    <n v="920"/>
    <n v="1032"/>
    <n v="250000"/>
    <x v="113"/>
  </r>
  <r>
    <s v="TR302"/>
    <x v="2"/>
    <x v="0"/>
    <x v="0"/>
    <x v="0"/>
    <n v="2500"/>
    <n v="2590"/>
    <n v="2443"/>
    <n v="2523"/>
    <n v="250000"/>
    <x v="1"/>
  </r>
  <r>
    <s v="TR303"/>
    <x v="0"/>
    <x v="3"/>
    <x v="3"/>
    <x v="3"/>
    <n v="2500"/>
    <n v="2539"/>
    <n v="2437"/>
    <n v="2532"/>
    <n v="250000"/>
    <x v="114"/>
  </r>
  <r>
    <s v="TR304"/>
    <x v="2"/>
    <x v="3"/>
    <x v="3"/>
    <x v="3"/>
    <n v="1000"/>
    <n v="1069"/>
    <n v="986"/>
    <n v="1040"/>
    <m/>
    <x v="1"/>
  </r>
  <r>
    <s v="TR306"/>
    <x v="3"/>
    <x v="0"/>
    <x v="0"/>
    <x v="0"/>
    <n v="3500"/>
    <n v="3567"/>
    <n v="3464"/>
    <n v="3511"/>
    <m/>
    <x v="1"/>
  </r>
  <r>
    <s v="TR306"/>
    <x v="0"/>
    <x v="2"/>
    <x v="2"/>
    <x v="2"/>
    <n v="3500"/>
    <n v="3514"/>
    <n v="3475"/>
    <n v="3507"/>
    <n v="500000"/>
    <x v="115"/>
  </r>
  <r>
    <s v="TR308"/>
    <x v="3"/>
    <x v="0"/>
    <x v="0"/>
    <x v="0"/>
    <m/>
    <m/>
    <m/>
    <m/>
    <n v="500000"/>
    <x v="1"/>
  </r>
  <r>
    <s v="TR309"/>
    <x v="3"/>
    <x v="4"/>
    <x v="4"/>
    <x v="2"/>
    <m/>
    <m/>
    <m/>
    <m/>
    <n v="500000"/>
    <x v="1"/>
  </r>
  <r>
    <s v="TR309"/>
    <x v="1"/>
    <x v="1"/>
    <x v="1"/>
    <x v="1"/>
    <n v="2500"/>
    <n v="2513"/>
    <n v="2470"/>
    <n v="2451"/>
    <m/>
    <x v="116"/>
  </r>
  <r>
    <s v="TR311"/>
    <x v="3"/>
    <x v="0"/>
    <x v="0"/>
    <x v="0"/>
    <n v="2500"/>
    <n v="2534"/>
    <n v="2450"/>
    <n v="2544"/>
    <m/>
    <x v="1"/>
  </r>
  <r>
    <s v="TR312"/>
    <x v="3"/>
    <x v="3"/>
    <x v="3"/>
    <x v="3"/>
    <n v="2500"/>
    <n v="2573"/>
    <n v="2479"/>
    <n v="2501"/>
    <n v="250000"/>
    <x v="1"/>
  </r>
  <r>
    <s v="TR312"/>
    <x v="1"/>
    <x v="4"/>
    <x v="4"/>
    <x v="2"/>
    <n v="3500"/>
    <n v="3597"/>
    <n v="3435"/>
    <n v="3469"/>
    <n v="500000"/>
    <x v="117"/>
  </r>
  <r>
    <s v="TR314"/>
    <x v="0"/>
    <x v="3"/>
    <x v="3"/>
    <x v="3"/>
    <m/>
    <m/>
    <m/>
    <m/>
    <m/>
    <x v="1"/>
  </r>
  <r>
    <s v="TR315"/>
    <x v="1"/>
    <x v="2"/>
    <x v="2"/>
    <x v="2"/>
    <m/>
    <m/>
    <m/>
    <m/>
    <n v="250000"/>
    <x v="1"/>
  </r>
  <r>
    <s v="TR315"/>
    <x v="0"/>
    <x v="0"/>
    <x v="0"/>
    <x v="0"/>
    <m/>
    <m/>
    <m/>
    <m/>
    <n v="250000"/>
    <x v="1"/>
  </r>
  <r>
    <s v="TR317"/>
    <x v="3"/>
    <x v="0"/>
    <x v="0"/>
    <x v="0"/>
    <n v="3500"/>
    <n v="3548"/>
    <n v="3465"/>
    <n v="3466"/>
    <m/>
    <x v="1"/>
  </r>
  <r>
    <s v="TR318"/>
    <x v="1"/>
    <x v="1"/>
    <x v="1"/>
    <x v="1"/>
    <n v="1000"/>
    <n v="1059"/>
    <n v="978"/>
    <n v="961"/>
    <n v="500000"/>
    <x v="118"/>
  </r>
  <r>
    <s v="TR319"/>
    <x v="2"/>
    <x v="3"/>
    <x v="3"/>
    <x v="3"/>
    <m/>
    <m/>
    <m/>
    <m/>
    <m/>
    <x v="1"/>
  </r>
  <r>
    <s v="TR320"/>
    <x v="0"/>
    <x v="0"/>
    <x v="0"/>
    <x v="0"/>
    <n v="1000"/>
    <n v="1089"/>
    <n v="987"/>
    <n v="1002"/>
    <m/>
    <x v="119"/>
  </r>
  <r>
    <s v="TR321"/>
    <x v="2"/>
    <x v="4"/>
    <x v="4"/>
    <x v="2"/>
    <m/>
    <m/>
    <m/>
    <m/>
    <n v="500000"/>
    <x v="1"/>
  </r>
  <r>
    <s v="TR322"/>
    <x v="0"/>
    <x v="3"/>
    <x v="3"/>
    <x v="3"/>
    <n v="2500"/>
    <n v="2547"/>
    <n v="2489"/>
    <n v="2487"/>
    <n v="250000"/>
    <x v="120"/>
  </r>
  <r>
    <s v="TR322"/>
    <x v="3"/>
    <x v="1"/>
    <x v="1"/>
    <x v="1"/>
    <n v="1000"/>
    <n v="1098"/>
    <n v="941"/>
    <n v="970"/>
    <n v="250000"/>
    <x v="1"/>
  </r>
  <r>
    <s v="TR323"/>
    <x v="0"/>
    <x v="0"/>
    <x v="0"/>
    <x v="0"/>
    <n v="3500"/>
    <n v="3540"/>
    <n v="3445"/>
    <n v="3515"/>
    <n v="500000"/>
    <x v="121"/>
  </r>
  <r>
    <s v="TR324"/>
    <x v="0"/>
    <x v="4"/>
    <x v="4"/>
    <x v="2"/>
    <m/>
    <m/>
    <m/>
    <m/>
    <m/>
    <x v="1"/>
  </r>
  <r>
    <s v="TR325"/>
    <x v="0"/>
    <x v="2"/>
    <x v="2"/>
    <x v="2"/>
    <n v="2500"/>
    <n v="2554"/>
    <n v="2446"/>
    <n v="2515"/>
    <m/>
    <x v="122"/>
  </r>
  <r>
    <s v="TR327"/>
    <x v="2"/>
    <x v="2"/>
    <x v="2"/>
    <x v="2"/>
    <n v="1000"/>
    <n v="1030"/>
    <n v="951"/>
    <n v="961"/>
    <n v="500000"/>
    <x v="1"/>
  </r>
  <r>
    <s v="TR327"/>
    <x v="1"/>
    <x v="1"/>
    <x v="1"/>
    <x v="1"/>
    <n v="1000"/>
    <n v="1081"/>
    <n v="964"/>
    <n v="1002"/>
    <n v="250000"/>
    <x v="123"/>
  </r>
  <r>
    <s v="TR328"/>
    <x v="1"/>
    <x v="3"/>
    <x v="3"/>
    <x v="3"/>
    <n v="3500"/>
    <n v="3515"/>
    <n v="3430"/>
    <n v="3533"/>
    <n v="500000"/>
    <x v="124"/>
  </r>
  <r>
    <s v="TR329"/>
    <x v="1"/>
    <x v="0"/>
    <x v="0"/>
    <x v="0"/>
    <n v="1000"/>
    <n v="1052"/>
    <n v="938"/>
    <n v="1038"/>
    <n v="250000"/>
    <x v="125"/>
  </r>
  <r>
    <s v="TR330"/>
    <x v="2"/>
    <x v="0"/>
    <x v="0"/>
    <x v="0"/>
    <n v="1000"/>
    <n v="1095"/>
    <n v="979"/>
    <n v="967"/>
    <n v="250000"/>
    <x v="1"/>
  </r>
  <r>
    <s v="TR332"/>
    <x v="2"/>
    <x v="2"/>
    <x v="2"/>
    <x v="2"/>
    <n v="2500"/>
    <n v="2547"/>
    <n v="2440"/>
    <n v="2532"/>
    <n v="100000"/>
    <x v="1"/>
  </r>
  <r>
    <s v="TR333"/>
    <x v="3"/>
    <x v="0"/>
    <x v="0"/>
    <x v="0"/>
    <n v="2500"/>
    <n v="2570"/>
    <n v="2422"/>
    <n v="2478"/>
    <m/>
    <x v="1"/>
  </r>
  <r>
    <s v="TR333"/>
    <x v="2"/>
    <x v="0"/>
    <x v="0"/>
    <x v="0"/>
    <n v="1000"/>
    <n v="1097"/>
    <n v="972"/>
    <n v="981"/>
    <n v="500000"/>
    <x v="1"/>
  </r>
  <r>
    <s v="TR335"/>
    <x v="1"/>
    <x v="4"/>
    <x v="4"/>
    <x v="2"/>
    <n v="1000"/>
    <n v="1018"/>
    <n v="990"/>
    <n v="1005"/>
    <n v="100000"/>
    <x v="126"/>
  </r>
  <r>
    <s v="TR335"/>
    <x v="2"/>
    <x v="3"/>
    <x v="3"/>
    <x v="3"/>
    <n v="2500"/>
    <n v="2582"/>
    <n v="2452"/>
    <n v="2527"/>
    <n v="250000"/>
    <x v="1"/>
  </r>
  <r>
    <s v="TR336"/>
    <x v="1"/>
    <x v="2"/>
    <x v="2"/>
    <x v="2"/>
    <n v="3500"/>
    <n v="3549"/>
    <n v="3430"/>
    <n v="3532"/>
    <n v="250000"/>
    <x v="127"/>
  </r>
  <r>
    <s v="TR338"/>
    <x v="1"/>
    <x v="4"/>
    <x v="4"/>
    <x v="2"/>
    <n v="3500"/>
    <n v="3512"/>
    <n v="3440"/>
    <n v="3525"/>
    <m/>
    <x v="128"/>
  </r>
  <r>
    <s v="TR338"/>
    <x v="1"/>
    <x v="0"/>
    <x v="0"/>
    <x v="0"/>
    <m/>
    <m/>
    <m/>
    <m/>
    <n v="100000"/>
    <x v="1"/>
  </r>
  <r>
    <s v="TR339"/>
    <x v="2"/>
    <x v="1"/>
    <x v="1"/>
    <x v="1"/>
    <n v="2500"/>
    <n v="2594"/>
    <n v="2488"/>
    <n v="2510"/>
    <n v="250000"/>
    <x v="1"/>
  </r>
  <r>
    <s v="TR341"/>
    <x v="1"/>
    <x v="3"/>
    <x v="3"/>
    <x v="3"/>
    <n v="1000"/>
    <n v="1051"/>
    <n v="968"/>
    <n v="972"/>
    <n v="500000"/>
    <x v="129"/>
  </r>
  <r>
    <s v="TR341"/>
    <x v="1"/>
    <x v="2"/>
    <x v="2"/>
    <x v="2"/>
    <n v="2500"/>
    <n v="2572"/>
    <n v="2434"/>
    <n v="2531"/>
    <n v="100000"/>
    <x v="130"/>
  </r>
  <r>
    <s v="TR343"/>
    <x v="3"/>
    <x v="1"/>
    <x v="1"/>
    <x v="1"/>
    <n v="1000"/>
    <n v="1056"/>
    <n v="933"/>
    <n v="1018"/>
    <n v="100000"/>
    <x v="1"/>
  </r>
  <r>
    <s v="TR344"/>
    <x v="0"/>
    <x v="4"/>
    <x v="4"/>
    <x v="2"/>
    <n v="1000"/>
    <n v="1052"/>
    <n v="987"/>
    <n v="1012"/>
    <n v="500000"/>
    <x v="131"/>
  </r>
  <r>
    <s v="TR344"/>
    <x v="2"/>
    <x v="2"/>
    <x v="2"/>
    <x v="2"/>
    <n v="3500"/>
    <n v="3569"/>
    <n v="3469"/>
    <n v="3530"/>
    <n v="100000"/>
    <x v="1"/>
  </r>
  <r>
    <s v="TR345"/>
    <x v="2"/>
    <x v="4"/>
    <x v="4"/>
    <x v="2"/>
    <n v="1000"/>
    <n v="1049"/>
    <n v="950"/>
    <n v="998"/>
    <n v="500000"/>
    <x v="1"/>
  </r>
  <r>
    <s v="TR346"/>
    <x v="0"/>
    <x v="4"/>
    <x v="4"/>
    <x v="2"/>
    <n v="2500"/>
    <n v="2598"/>
    <n v="2489"/>
    <n v="2506"/>
    <n v="100000"/>
    <x v="132"/>
  </r>
  <r>
    <s v="TR348"/>
    <x v="2"/>
    <x v="0"/>
    <x v="0"/>
    <x v="0"/>
    <n v="2500"/>
    <n v="2560"/>
    <n v="2453"/>
    <n v="2520"/>
    <n v="250000"/>
    <x v="1"/>
  </r>
  <r>
    <s v="TR348"/>
    <x v="1"/>
    <x v="2"/>
    <x v="2"/>
    <x v="2"/>
    <n v="3500"/>
    <n v="3548"/>
    <n v="3472"/>
    <n v="3455"/>
    <m/>
    <x v="95"/>
  </r>
  <r>
    <s v="TR349"/>
    <x v="2"/>
    <x v="3"/>
    <x v="3"/>
    <x v="3"/>
    <n v="1000"/>
    <n v="1054"/>
    <n v="981"/>
    <n v="969"/>
    <n v="250000"/>
    <x v="1"/>
  </r>
  <r>
    <s v="TR351"/>
    <x v="3"/>
    <x v="4"/>
    <x v="4"/>
    <x v="2"/>
    <n v="2500"/>
    <n v="2532"/>
    <n v="2480"/>
    <n v="2512"/>
    <n v="250000"/>
    <x v="1"/>
  </r>
  <r>
    <s v="TR352"/>
    <x v="2"/>
    <x v="3"/>
    <x v="3"/>
    <x v="3"/>
    <n v="2500"/>
    <n v="2590"/>
    <n v="2490"/>
    <n v="2483"/>
    <m/>
    <x v="1"/>
  </r>
  <r>
    <s v="TR353"/>
    <x v="0"/>
    <x v="0"/>
    <x v="0"/>
    <x v="0"/>
    <m/>
    <m/>
    <m/>
    <m/>
    <n v="250000"/>
    <x v="1"/>
  </r>
  <r>
    <s v="TR354"/>
    <x v="2"/>
    <x v="1"/>
    <x v="1"/>
    <x v="1"/>
    <n v="3500"/>
    <n v="3527"/>
    <n v="3483"/>
    <n v="3515"/>
    <n v="100000"/>
    <x v="1"/>
  </r>
  <r>
    <s v="TR355"/>
    <x v="1"/>
    <x v="2"/>
    <x v="2"/>
    <x v="2"/>
    <n v="2500"/>
    <n v="2540"/>
    <n v="2422"/>
    <n v="2535"/>
    <m/>
    <x v="133"/>
  </r>
  <r>
    <s v="TR355"/>
    <x v="2"/>
    <x v="2"/>
    <x v="2"/>
    <x v="2"/>
    <n v="3500"/>
    <n v="3519"/>
    <n v="3480"/>
    <n v="3528"/>
    <n v="100000"/>
    <x v="1"/>
  </r>
  <r>
    <s v="TR356"/>
    <x v="0"/>
    <x v="1"/>
    <x v="1"/>
    <x v="1"/>
    <n v="2500"/>
    <n v="2584"/>
    <n v="2470"/>
    <n v="2476"/>
    <n v="500000"/>
    <x v="134"/>
  </r>
  <r>
    <s v="TR357"/>
    <x v="0"/>
    <x v="3"/>
    <x v="3"/>
    <x v="3"/>
    <n v="1000"/>
    <n v="1037"/>
    <n v="953"/>
    <n v="1025"/>
    <n v="500000"/>
    <x v="135"/>
  </r>
  <r>
    <s v="TR359"/>
    <x v="2"/>
    <x v="4"/>
    <x v="4"/>
    <x v="2"/>
    <m/>
    <m/>
    <m/>
    <m/>
    <n v="500000"/>
    <x v="1"/>
  </r>
  <r>
    <s v="TR360"/>
    <x v="1"/>
    <x v="3"/>
    <x v="3"/>
    <x v="3"/>
    <n v="2500"/>
    <n v="2571"/>
    <n v="2437"/>
    <n v="2456"/>
    <n v="500000"/>
    <x v="136"/>
  </r>
  <r>
    <s v="TR360"/>
    <x v="2"/>
    <x v="2"/>
    <x v="2"/>
    <x v="2"/>
    <n v="3500"/>
    <n v="3558"/>
    <n v="3475"/>
    <n v="3483"/>
    <n v="250000"/>
    <x v="1"/>
  </r>
  <r>
    <s v="TR362"/>
    <x v="1"/>
    <x v="4"/>
    <x v="4"/>
    <x v="2"/>
    <n v="2500"/>
    <n v="2548"/>
    <n v="2435"/>
    <n v="2493"/>
    <n v="100000"/>
    <x v="137"/>
  </r>
  <r>
    <s v="TR362"/>
    <x v="3"/>
    <x v="0"/>
    <x v="0"/>
    <x v="0"/>
    <m/>
    <m/>
    <m/>
    <m/>
    <n v="250000"/>
    <x v="1"/>
  </r>
  <r>
    <s v="TR364"/>
    <x v="1"/>
    <x v="1"/>
    <x v="1"/>
    <x v="1"/>
    <n v="2500"/>
    <n v="2539"/>
    <n v="2490"/>
    <n v="2476"/>
    <m/>
    <x v="138"/>
  </r>
  <r>
    <s v="TR364"/>
    <x v="0"/>
    <x v="3"/>
    <x v="3"/>
    <x v="3"/>
    <n v="1000"/>
    <n v="1055"/>
    <n v="927"/>
    <n v="1016"/>
    <n v="500000"/>
    <x v="139"/>
  </r>
  <r>
    <s v="TR365"/>
    <x v="1"/>
    <x v="3"/>
    <x v="3"/>
    <x v="3"/>
    <m/>
    <m/>
    <m/>
    <m/>
    <n v="500000"/>
    <x v="1"/>
  </r>
  <r>
    <s v="TR367"/>
    <x v="1"/>
    <x v="3"/>
    <x v="3"/>
    <x v="3"/>
    <n v="2500"/>
    <n v="2515"/>
    <n v="2470"/>
    <n v="2534"/>
    <m/>
    <x v="140"/>
  </r>
  <r>
    <s v="TR368"/>
    <x v="0"/>
    <x v="2"/>
    <x v="2"/>
    <x v="2"/>
    <n v="1000"/>
    <n v="1074"/>
    <n v="971"/>
    <n v="1013"/>
    <n v="100000"/>
    <x v="141"/>
  </r>
  <r>
    <s v="TR368"/>
    <x v="0"/>
    <x v="1"/>
    <x v="1"/>
    <x v="1"/>
    <n v="3500"/>
    <n v="3566"/>
    <n v="3476"/>
    <n v="3536"/>
    <n v="250000"/>
    <x v="142"/>
  </r>
  <r>
    <s v="TR370"/>
    <x v="0"/>
    <x v="3"/>
    <x v="3"/>
    <x v="3"/>
    <m/>
    <m/>
    <m/>
    <m/>
    <n v="100000"/>
    <x v="1"/>
  </r>
  <r>
    <s v="TR370"/>
    <x v="1"/>
    <x v="4"/>
    <x v="4"/>
    <x v="2"/>
    <n v="1000"/>
    <n v="1081"/>
    <n v="949"/>
    <n v="976"/>
    <n v="100000"/>
    <x v="143"/>
  </r>
  <r>
    <s v="TR372"/>
    <x v="3"/>
    <x v="0"/>
    <x v="0"/>
    <x v="0"/>
    <n v="3500"/>
    <n v="3533"/>
    <n v="3429"/>
    <n v="3478"/>
    <n v="250000"/>
    <x v="1"/>
  </r>
  <r>
    <s v="TR373"/>
    <x v="2"/>
    <x v="0"/>
    <x v="0"/>
    <x v="0"/>
    <m/>
    <m/>
    <m/>
    <m/>
    <n v="500000"/>
    <x v="1"/>
  </r>
  <r>
    <s v="TR373"/>
    <x v="1"/>
    <x v="1"/>
    <x v="1"/>
    <x v="1"/>
    <m/>
    <m/>
    <m/>
    <m/>
    <n v="100000"/>
    <x v="1"/>
  </r>
  <r>
    <s v="TR375"/>
    <x v="1"/>
    <x v="1"/>
    <x v="1"/>
    <x v="1"/>
    <n v="1000"/>
    <n v="1050"/>
    <n v="951"/>
    <n v="951"/>
    <n v="250000"/>
    <x v="144"/>
  </r>
  <r>
    <s v="TR376"/>
    <x v="2"/>
    <x v="2"/>
    <x v="2"/>
    <x v="2"/>
    <m/>
    <m/>
    <m/>
    <m/>
    <n v="250000"/>
    <x v="1"/>
  </r>
  <r>
    <s v="TR377"/>
    <x v="3"/>
    <x v="4"/>
    <x v="4"/>
    <x v="2"/>
    <n v="1000"/>
    <n v="1075"/>
    <n v="947"/>
    <n v="972"/>
    <m/>
    <x v="1"/>
  </r>
  <r>
    <s v="TR377"/>
    <x v="0"/>
    <x v="3"/>
    <x v="3"/>
    <x v="3"/>
    <n v="2500"/>
    <n v="2512"/>
    <n v="2472"/>
    <n v="2468"/>
    <n v="500000"/>
    <x v="145"/>
  </r>
  <r>
    <s v="TR379"/>
    <x v="1"/>
    <x v="3"/>
    <x v="3"/>
    <x v="3"/>
    <n v="3500"/>
    <n v="3561"/>
    <n v="3471"/>
    <n v="3512"/>
    <n v="250000"/>
    <x v="146"/>
  </r>
  <r>
    <s v="TR379"/>
    <x v="0"/>
    <x v="3"/>
    <x v="3"/>
    <x v="3"/>
    <n v="1000"/>
    <n v="1014"/>
    <n v="956"/>
    <n v="962"/>
    <n v="500000"/>
    <x v="147"/>
  </r>
  <r>
    <s v="TR381"/>
    <x v="1"/>
    <x v="0"/>
    <x v="0"/>
    <x v="0"/>
    <n v="1000"/>
    <n v="1040"/>
    <n v="989"/>
    <n v="979"/>
    <n v="250000"/>
    <x v="148"/>
  </r>
  <r>
    <s v="TR381"/>
    <x v="1"/>
    <x v="4"/>
    <x v="4"/>
    <x v="2"/>
    <n v="2500"/>
    <n v="2537"/>
    <n v="2474"/>
    <n v="2532"/>
    <n v="500000"/>
    <x v="149"/>
  </r>
  <r>
    <s v="TR383"/>
    <x v="3"/>
    <x v="1"/>
    <x v="1"/>
    <x v="1"/>
    <n v="2500"/>
    <n v="2545"/>
    <n v="2420"/>
    <n v="2522"/>
    <n v="100000"/>
    <x v="1"/>
  </r>
  <r>
    <s v="TR384"/>
    <x v="3"/>
    <x v="1"/>
    <x v="1"/>
    <x v="1"/>
    <m/>
    <m/>
    <m/>
    <m/>
    <n v="500000"/>
    <x v="1"/>
  </r>
  <r>
    <s v="TR385"/>
    <x v="0"/>
    <x v="3"/>
    <x v="3"/>
    <x v="3"/>
    <n v="3500"/>
    <n v="3568"/>
    <n v="3449"/>
    <n v="3549"/>
    <n v="250000"/>
    <x v="150"/>
  </r>
  <r>
    <s v="TR385"/>
    <x v="3"/>
    <x v="1"/>
    <x v="1"/>
    <x v="1"/>
    <n v="3500"/>
    <n v="3599"/>
    <n v="3420"/>
    <n v="3458"/>
    <n v="500000"/>
    <x v="1"/>
  </r>
  <r>
    <s v="TR386"/>
    <x v="1"/>
    <x v="1"/>
    <x v="1"/>
    <x v="1"/>
    <m/>
    <m/>
    <m/>
    <m/>
    <n v="500000"/>
    <x v="1"/>
  </r>
  <r>
    <s v="TR388"/>
    <x v="0"/>
    <x v="3"/>
    <x v="3"/>
    <x v="3"/>
    <n v="1000"/>
    <n v="1094"/>
    <n v="944"/>
    <n v="985"/>
    <n v="500000"/>
    <x v="151"/>
  </r>
  <r>
    <s v="TR389"/>
    <x v="2"/>
    <x v="2"/>
    <x v="2"/>
    <x v="2"/>
    <m/>
    <m/>
    <m/>
    <m/>
    <n v="100000"/>
    <x v="1"/>
  </r>
  <r>
    <s v="TR390"/>
    <x v="1"/>
    <x v="4"/>
    <x v="4"/>
    <x v="2"/>
    <n v="1000"/>
    <n v="1069"/>
    <n v="982"/>
    <n v="976"/>
    <n v="100000"/>
    <x v="143"/>
  </r>
  <r>
    <s v="TR390"/>
    <x v="2"/>
    <x v="0"/>
    <x v="0"/>
    <x v="0"/>
    <n v="2500"/>
    <n v="2535"/>
    <n v="2481"/>
    <n v="2515"/>
    <n v="100000"/>
    <x v="1"/>
  </r>
  <r>
    <s v="TR391"/>
    <x v="0"/>
    <x v="3"/>
    <x v="3"/>
    <x v="3"/>
    <m/>
    <m/>
    <m/>
    <m/>
    <n v="250000"/>
    <x v="1"/>
  </r>
  <r>
    <s v="TR392"/>
    <x v="1"/>
    <x v="3"/>
    <x v="3"/>
    <x v="3"/>
    <n v="2500"/>
    <n v="2529"/>
    <n v="2469"/>
    <n v="2484"/>
    <n v="250000"/>
    <x v="152"/>
  </r>
  <r>
    <s v="TR393"/>
    <x v="0"/>
    <x v="1"/>
    <x v="1"/>
    <x v="1"/>
    <n v="3500"/>
    <n v="3596"/>
    <n v="3432"/>
    <n v="3496"/>
    <n v="100000"/>
    <x v="153"/>
  </r>
  <r>
    <s v="TR394"/>
    <x v="0"/>
    <x v="4"/>
    <x v="4"/>
    <x v="2"/>
    <n v="2500"/>
    <n v="2540"/>
    <n v="2433"/>
    <n v="2456"/>
    <n v="250000"/>
    <x v="154"/>
  </r>
  <r>
    <s v="TR395"/>
    <x v="2"/>
    <x v="3"/>
    <x v="3"/>
    <x v="3"/>
    <m/>
    <m/>
    <m/>
    <m/>
    <m/>
    <x v="1"/>
  </r>
  <r>
    <s v="TR397"/>
    <x v="0"/>
    <x v="1"/>
    <x v="1"/>
    <x v="1"/>
    <m/>
    <m/>
    <m/>
    <m/>
    <n v="500000"/>
    <x v="1"/>
  </r>
  <r>
    <s v="TR398"/>
    <x v="3"/>
    <x v="1"/>
    <x v="1"/>
    <x v="1"/>
    <n v="3500"/>
    <n v="3543"/>
    <n v="3428"/>
    <n v="3509"/>
    <n v="100000"/>
    <x v="1"/>
  </r>
  <r>
    <s v="TR399"/>
    <x v="0"/>
    <x v="0"/>
    <x v="0"/>
    <x v="0"/>
    <n v="1000"/>
    <n v="1078"/>
    <n v="954"/>
    <n v="964"/>
    <n v="250000"/>
    <x v="155"/>
  </r>
  <r>
    <s v="TR399"/>
    <x v="3"/>
    <x v="4"/>
    <x v="4"/>
    <x v="2"/>
    <n v="1000"/>
    <n v="1072"/>
    <n v="956"/>
    <n v="975"/>
    <n v="100000"/>
    <x v="1"/>
  </r>
  <r>
    <s v="TR400"/>
    <x v="1"/>
    <x v="3"/>
    <x v="3"/>
    <x v="3"/>
    <m/>
    <m/>
    <m/>
    <m/>
    <n v="500000"/>
    <x v="1"/>
  </r>
  <r>
    <s v="TR401"/>
    <x v="3"/>
    <x v="0"/>
    <x v="0"/>
    <x v="0"/>
    <n v="1000"/>
    <n v="1027"/>
    <n v="965"/>
    <n v="1008"/>
    <n v="500000"/>
    <x v="1"/>
  </r>
  <r>
    <s v="TR402"/>
    <x v="0"/>
    <x v="1"/>
    <x v="1"/>
    <x v="1"/>
    <n v="3500"/>
    <n v="3572"/>
    <n v="3466"/>
    <n v="3477"/>
    <n v="500000"/>
    <x v="156"/>
  </r>
  <r>
    <s v="TR404"/>
    <x v="3"/>
    <x v="3"/>
    <x v="3"/>
    <x v="3"/>
    <n v="1000"/>
    <n v="1078"/>
    <n v="982"/>
    <n v="1003"/>
    <n v="500000"/>
    <x v="1"/>
  </r>
  <r>
    <s v="TR404"/>
    <x v="2"/>
    <x v="2"/>
    <x v="2"/>
    <x v="2"/>
    <n v="1000"/>
    <n v="1096"/>
    <n v="966"/>
    <n v="1044"/>
    <n v="500000"/>
    <x v="1"/>
  </r>
  <r>
    <s v="TR406"/>
    <x v="3"/>
    <x v="0"/>
    <x v="0"/>
    <x v="0"/>
    <m/>
    <m/>
    <m/>
    <m/>
    <m/>
    <x v="1"/>
  </r>
  <r>
    <s v="TR406"/>
    <x v="1"/>
    <x v="4"/>
    <x v="4"/>
    <x v="2"/>
    <m/>
    <m/>
    <m/>
    <m/>
    <n v="100000"/>
    <x v="1"/>
  </r>
  <r>
    <s v="TR408"/>
    <x v="1"/>
    <x v="1"/>
    <x v="1"/>
    <x v="1"/>
    <n v="3500"/>
    <n v="3559"/>
    <n v="3445"/>
    <n v="3454"/>
    <n v="100000"/>
    <x v="157"/>
  </r>
  <r>
    <s v="TR409"/>
    <x v="3"/>
    <x v="3"/>
    <x v="3"/>
    <x v="3"/>
    <m/>
    <m/>
    <m/>
    <m/>
    <n v="500000"/>
    <x v="1"/>
  </r>
  <r>
    <s v="TR410"/>
    <x v="1"/>
    <x v="2"/>
    <x v="2"/>
    <x v="2"/>
    <m/>
    <m/>
    <m/>
    <m/>
    <n v="100000"/>
    <x v="1"/>
  </r>
  <r>
    <s v="TR410"/>
    <x v="2"/>
    <x v="0"/>
    <x v="0"/>
    <x v="0"/>
    <n v="1000"/>
    <n v="1082"/>
    <n v="937"/>
    <n v="965"/>
    <n v="500000"/>
    <x v="1"/>
  </r>
  <r>
    <s v="TR411"/>
    <x v="3"/>
    <x v="0"/>
    <x v="0"/>
    <x v="0"/>
    <n v="1000"/>
    <n v="1050"/>
    <n v="924"/>
    <n v="1011"/>
    <n v="250000"/>
    <x v="1"/>
  </r>
  <r>
    <s v="TR412"/>
    <x v="0"/>
    <x v="1"/>
    <x v="1"/>
    <x v="1"/>
    <m/>
    <m/>
    <m/>
    <m/>
    <n v="100000"/>
    <x v="1"/>
  </r>
  <r>
    <s v="TR414"/>
    <x v="1"/>
    <x v="0"/>
    <x v="0"/>
    <x v="0"/>
    <n v="1000"/>
    <n v="1081"/>
    <n v="961"/>
    <n v="983"/>
    <m/>
    <x v="158"/>
  </r>
  <r>
    <s v="TR414"/>
    <x v="2"/>
    <x v="4"/>
    <x v="4"/>
    <x v="2"/>
    <n v="2500"/>
    <n v="2593"/>
    <n v="2455"/>
    <n v="2480"/>
    <n v="500000"/>
    <x v="1"/>
  </r>
  <r>
    <s v="TR416"/>
    <x v="2"/>
    <x v="4"/>
    <x v="4"/>
    <x v="2"/>
    <n v="2500"/>
    <n v="2586"/>
    <n v="2421"/>
    <n v="2538"/>
    <m/>
    <x v="1"/>
  </r>
  <r>
    <s v="TR417"/>
    <x v="1"/>
    <x v="0"/>
    <x v="0"/>
    <x v="0"/>
    <n v="3500"/>
    <n v="3594"/>
    <n v="3471"/>
    <n v="3471"/>
    <n v="250000"/>
    <x v="159"/>
  </r>
  <r>
    <s v="TR418"/>
    <x v="3"/>
    <x v="0"/>
    <x v="0"/>
    <x v="0"/>
    <n v="1000"/>
    <n v="1085"/>
    <n v="970"/>
    <n v="1006"/>
    <n v="100000"/>
    <x v="1"/>
  </r>
  <r>
    <s v="TR418"/>
    <x v="1"/>
    <x v="4"/>
    <x v="4"/>
    <x v="2"/>
    <m/>
    <m/>
    <m/>
    <m/>
    <n v="500000"/>
    <x v="1"/>
  </r>
  <r>
    <s v="TR419"/>
    <x v="1"/>
    <x v="0"/>
    <x v="0"/>
    <x v="0"/>
    <n v="2500"/>
    <n v="2561"/>
    <n v="2423"/>
    <n v="2499"/>
    <n v="250000"/>
    <x v="160"/>
  </r>
  <r>
    <s v="TR421"/>
    <x v="2"/>
    <x v="3"/>
    <x v="3"/>
    <x v="3"/>
    <n v="2500"/>
    <n v="2516"/>
    <n v="2427"/>
    <n v="2469"/>
    <n v="500000"/>
    <x v="1"/>
  </r>
  <r>
    <s v="TR421"/>
    <x v="1"/>
    <x v="3"/>
    <x v="3"/>
    <x v="3"/>
    <n v="2500"/>
    <n v="2597"/>
    <n v="2484"/>
    <n v="2550"/>
    <n v="100000"/>
    <x v="161"/>
  </r>
  <r>
    <s v="TR423"/>
    <x v="2"/>
    <x v="3"/>
    <x v="3"/>
    <x v="3"/>
    <n v="1000"/>
    <n v="1019"/>
    <n v="975"/>
    <n v="961"/>
    <n v="100000"/>
    <x v="1"/>
  </r>
  <r>
    <s v="TR424"/>
    <x v="0"/>
    <x v="0"/>
    <x v="0"/>
    <x v="0"/>
    <n v="2500"/>
    <n v="2566"/>
    <n v="2433"/>
    <n v="2472"/>
    <m/>
    <x v="162"/>
  </r>
  <r>
    <s v="TR425"/>
    <x v="0"/>
    <x v="4"/>
    <x v="4"/>
    <x v="2"/>
    <n v="3500"/>
    <n v="3561"/>
    <n v="3439"/>
    <n v="3522"/>
    <m/>
    <x v="163"/>
  </r>
  <r>
    <s v="TR425"/>
    <x v="0"/>
    <x v="4"/>
    <x v="4"/>
    <x v="2"/>
    <m/>
    <m/>
    <m/>
    <m/>
    <n v="500000"/>
    <x v="1"/>
  </r>
  <r>
    <s v="TR427"/>
    <x v="1"/>
    <x v="1"/>
    <x v="1"/>
    <x v="1"/>
    <n v="1000"/>
    <n v="1081"/>
    <n v="922"/>
    <n v="992"/>
    <n v="250000"/>
    <x v="164"/>
  </r>
  <r>
    <s v="TR427"/>
    <x v="0"/>
    <x v="4"/>
    <x v="4"/>
    <x v="2"/>
    <m/>
    <m/>
    <m/>
    <m/>
    <m/>
    <x v="1"/>
  </r>
  <r>
    <s v="TR428"/>
    <x v="0"/>
    <x v="3"/>
    <x v="3"/>
    <x v="3"/>
    <n v="1000"/>
    <n v="1081"/>
    <n v="961"/>
    <n v="1038"/>
    <m/>
    <x v="165"/>
  </r>
  <r>
    <s v="TR429"/>
    <x v="0"/>
    <x v="2"/>
    <x v="2"/>
    <x v="2"/>
    <n v="1000"/>
    <n v="1035"/>
    <n v="977"/>
    <n v="1003"/>
    <n v="250000"/>
    <x v="166"/>
  </r>
  <r>
    <s v="TR431"/>
    <x v="1"/>
    <x v="3"/>
    <x v="3"/>
    <x v="3"/>
    <n v="2500"/>
    <n v="2576"/>
    <n v="2439"/>
    <n v="2535"/>
    <n v="500000"/>
    <x v="167"/>
  </r>
  <r>
    <s v="TR432"/>
    <x v="3"/>
    <x v="0"/>
    <x v="0"/>
    <x v="0"/>
    <n v="2500"/>
    <n v="2581"/>
    <n v="2421"/>
    <n v="2500"/>
    <n v="100000"/>
    <x v="1"/>
  </r>
  <r>
    <s v="TR433"/>
    <x v="0"/>
    <x v="2"/>
    <x v="2"/>
    <x v="2"/>
    <n v="3500"/>
    <n v="3595"/>
    <n v="3478"/>
    <n v="3478"/>
    <n v="250000"/>
    <x v="168"/>
  </r>
  <r>
    <s v="TR434"/>
    <x v="2"/>
    <x v="2"/>
    <x v="2"/>
    <x v="2"/>
    <n v="2500"/>
    <n v="2587"/>
    <n v="2481"/>
    <n v="2506"/>
    <n v="100000"/>
    <x v="1"/>
  </r>
  <r>
    <s v="TR434"/>
    <x v="0"/>
    <x v="1"/>
    <x v="1"/>
    <x v="1"/>
    <m/>
    <m/>
    <m/>
    <m/>
    <n v="100000"/>
    <x v="1"/>
  </r>
  <r>
    <s v="TR435"/>
    <x v="2"/>
    <x v="0"/>
    <x v="0"/>
    <x v="0"/>
    <n v="3500"/>
    <n v="3589"/>
    <n v="3480"/>
    <n v="3529"/>
    <n v="500000"/>
    <x v="1"/>
  </r>
  <r>
    <s v="TR437"/>
    <x v="1"/>
    <x v="1"/>
    <x v="1"/>
    <x v="1"/>
    <m/>
    <m/>
    <m/>
    <m/>
    <n v="100000"/>
    <x v="1"/>
  </r>
  <r>
    <s v="TR437"/>
    <x v="1"/>
    <x v="0"/>
    <x v="0"/>
    <x v="0"/>
    <n v="2500"/>
    <n v="2514"/>
    <n v="2430"/>
    <n v="2511"/>
    <n v="250000"/>
    <x v="169"/>
  </r>
  <r>
    <s v="TR438"/>
    <x v="2"/>
    <x v="4"/>
    <x v="4"/>
    <x v="2"/>
    <n v="1000"/>
    <n v="1084"/>
    <n v="939"/>
    <n v="989"/>
    <n v="100000"/>
    <x v="1"/>
  </r>
  <r>
    <s v="TR439"/>
    <x v="2"/>
    <x v="2"/>
    <x v="2"/>
    <x v="2"/>
    <n v="1000"/>
    <n v="1032"/>
    <n v="955"/>
    <n v="967"/>
    <n v="250000"/>
    <x v="1"/>
  </r>
  <r>
    <s v="TR440"/>
    <x v="3"/>
    <x v="4"/>
    <x v="4"/>
    <x v="2"/>
    <m/>
    <m/>
    <m/>
    <m/>
    <n v="500000"/>
    <x v="1"/>
  </r>
  <r>
    <s v="TR441"/>
    <x v="1"/>
    <x v="1"/>
    <x v="1"/>
    <x v="1"/>
    <n v="2500"/>
    <n v="2539"/>
    <n v="2467"/>
    <n v="2452"/>
    <n v="100000"/>
    <x v="170"/>
  </r>
  <r>
    <s v="TR443"/>
    <x v="3"/>
    <x v="1"/>
    <x v="1"/>
    <x v="1"/>
    <n v="2500"/>
    <n v="2526"/>
    <n v="2482"/>
    <n v="2500"/>
    <n v="500000"/>
    <x v="1"/>
  </r>
  <r>
    <s v="TR443"/>
    <x v="2"/>
    <x v="1"/>
    <x v="1"/>
    <x v="1"/>
    <n v="1000"/>
    <n v="1038"/>
    <n v="988"/>
    <n v="1043"/>
    <n v="100000"/>
    <x v="1"/>
  </r>
  <r>
    <s v="TR445"/>
    <x v="2"/>
    <x v="3"/>
    <x v="3"/>
    <x v="3"/>
    <n v="1000"/>
    <n v="1081"/>
    <n v="954"/>
    <n v="1004"/>
    <m/>
    <x v="1"/>
  </r>
  <r>
    <s v="TR446"/>
    <x v="3"/>
    <x v="2"/>
    <x v="2"/>
    <x v="2"/>
    <m/>
    <m/>
    <m/>
    <m/>
    <n v="100000"/>
    <x v="1"/>
  </r>
  <r>
    <s v="TR446"/>
    <x v="3"/>
    <x v="0"/>
    <x v="0"/>
    <x v="0"/>
    <n v="1000"/>
    <n v="1019"/>
    <n v="962"/>
    <n v="995"/>
    <m/>
    <x v="1"/>
  </r>
  <r>
    <s v="TR448"/>
    <x v="3"/>
    <x v="2"/>
    <x v="2"/>
    <x v="2"/>
    <n v="1000"/>
    <n v="1100"/>
    <n v="921"/>
    <n v="1047"/>
    <n v="100000"/>
    <x v="1"/>
  </r>
  <r>
    <s v="TR449"/>
    <x v="2"/>
    <x v="2"/>
    <x v="2"/>
    <x v="2"/>
    <n v="2500"/>
    <n v="2528"/>
    <n v="2430"/>
    <n v="2539"/>
    <m/>
    <x v="1"/>
  </r>
  <r>
    <s v="TR450"/>
    <x v="3"/>
    <x v="4"/>
    <x v="4"/>
    <x v="2"/>
    <n v="3500"/>
    <n v="3548"/>
    <n v="3469"/>
    <n v="3504"/>
    <m/>
    <x v="1"/>
  </r>
  <r>
    <s v="TR450"/>
    <x v="2"/>
    <x v="4"/>
    <x v="4"/>
    <x v="2"/>
    <n v="2500"/>
    <n v="2572"/>
    <n v="2445"/>
    <n v="2504"/>
    <n v="500000"/>
    <x v="1"/>
  </r>
  <r>
    <s v="TR452"/>
    <x v="0"/>
    <x v="0"/>
    <x v="0"/>
    <x v="0"/>
    <m/>
    <m/>
    <m/>
    <m/>
    <n v="100000"/>
    <x v="1"/>
  </r>
  <r>
    <s v="TR452"/>
    <x v="2"/>
    <x v="1"/>
    <x v="1"/>
    <x v="1"/>
    <n v="1000"/>
    <n v="1055"/>
    <n v="964"/>
    <n v="985"/>
    <n v="250000"/>
    <x v="1"/>
  </r>
  <r>
    <s v="TR454"/>
    <x v="3"/>
    <x v="2"/>
    <x v="2"/>
    <x v="2"/>
    <n v="2500"/>
    <n v="2565"/>
    <n v="2463"/>
    <n v="2472"/>
    <n v="500000"/>
    <x v="1"/>
  </r>
  <r>
    <s v="TR455"/>
    <x v="3"/>
    <x v="0"/>
    <x v="0"/>
    <x v="0"/>
    <n v="2500"/>
    <n v="2519"/>
    <n v="2447"/>
    <n v="2538"/>
    <m/>
    <x v="1"/>
  </r>
  <r>
    <s v="TR455"/>
    <x v="3"/>
    <x v="4"/>
    <x v="4"/>
    <x v="2"/>
    <m/>
    <m/>
    <m/>
    <m/>
    <n v="500000"/>
    <x v="1"/>
  </r>
  <r>
    <s v="TR456"/>
    <x v="1"/>
    <x v="2"/>
    <x v="2"/>
    <x v="2"/>
    <n v="3500"/>
    <n v="3543"/>
    <n v="3433"/>
    <n v="3541"/>
    <m/>
    <x v="171"/>
  </r>
  <r>
    <s v="TR458"/>
    <x v="3"/>
    <x v="0"/>
    <x v="0"/>
    <x v="0"/>
    <n v="3500"/>
    <n v="3510"/>
    <n v="3455"/>
    <n v="3455"/>
    <m/>
    <x v="1"/>
  </r>
  <r>
    <s v="TR459"/>
    <x v="3"/>
    <x v="4"/>
    <x v="4"/>
    <x v="2"/>
    <n v="1000"/>
    <n v="1092"/>
    <n v="953"/>
    <n v="979"/>
    <n v="250000"/>
    <x v="1"/>
  </r>
  <r>
    <s v="TR460"/>
    <x v="3"/>
    <x v="3"/>
    <x v="3"/>
    <x v="3"/>
    <m/>
    <m/>
    <m/>
    <m/>
    <n v="250000"/>
    <x v="1"/>
  </r>
  <r>
    <s v="TR461"/>
    <x v="2"/>
    <x v="1"/>
    <x v="1"/>
    <x v="1"/>
    <n v="3500"/>
    <n v="3567"/>
    <n v="3469"/>
    <n v="3476"/>
    <n v="250000"/>
    <x v="1"/>
  </r>
  <r>
    <s v="TR461"/>
    <x v="2"/>
    <x v="2"/>
    <x v="2"/>
    <x v="2"/>
    <n v="2500"/>
    <n v="2587"/>
    <n v="2436"/>
    <n v="2544"/>
    <n v="500000"/>
    <x v="1"/>
  </r>
  <r>
    <s v="TR462"/>
    <x v="1"/>
    <x v="2"/>
    <x v="2"/>
    <x v="2"/>
    <n v="2500"/>
    <n v="2583"/>
    <n v="2459"/>
    <n v="2515"/>
    <n v="250000"/>
    <x v="172"/>
  </r>
  <r>
    <s v="TR464"/>
    <x v="1"/>
    <x v="1"/>
    <x v="1"/>
    <x v="1"/>
    <n v="2500"/>
    <n v="2531"/>
    <n v="2453"/>
    <n v="2541"/>
    <n v="100000"/>
    <x v="173"/>
  </r>
  <r>
    <s v="TR465"/>
    <x v="3"/>
    <x v="2"/>
    <x v="2"/>
    <x v="2"/>
    <n v="2500"/>
    <n v="2559"/>
    <n v="2473"/>
    <n v="2451"/>
    <m/>
    <x v="1"/>
  </r>
  <r>
    <s v="TR466"/>
    <x v="1"/>
    <x v="2"/>
    <x v="2"/>
    <x v="2"/>
    <m/>
    <m/>
    <m/>
    <m/>
    <m/>
    <x v="1"/>
  </r>
  <r>
    <s v="TR467"/>
    <x v="1"/>
    <x v="4"/>
    <x v="4"/>
    <x v="2"/>
    <n v="2500"/>
    <n v="2543"/>
    <n v="2448"/>
    <n v="2479"/>
    <n v="250000"/>
    <x v="174"/>
  </r>
  <r>
    <s v="TR467"/>
    <x v="0"/>
    <x v="4"/>
    <x v="4"/>
    <x v="2"/>
    <m/>
    <m/>
    <m/>
    <m/>
    <n v="500000"/>
    <x v="1"/>
  </r>
  <r>
    <s v="TR468"/>
    <x v="3"/>
    <x v="1"/>
    <x v="1"/>
    <x v="1"/>
    <n v="2500"/>
    <n v="2587"/>
    <n v="2428"/>
    <n v="2463"/>
    <m/>
    <x v="1"/>
  </r>
  <r>
    <s v="TR470"/>
    <x v="0"/>
    <x v="2"/>
    <x v="2"/>
    <x v="2"/>
    <m/>
    <m/>
    <m/>
    <m/>
    <n v="100000"/>
    <x v="1"/>
  </r>
  <r>
    <s v="TR470"/>
    <x v="2"/>
    <x v="2"/>
    <x v="2"/>
    <x v="2"/>
    <n v="2500"/>
    <n v="2531"/>
    <n v="2449"/>
    <n v="2456"/>
    <n v="100000"/>
    <x v="1"/>
  </r>
  <r>
    <s v="TR472"/>
    <x v="2"/>
    <x v="3"/>
    <x v="3"/>
    <x v="3"/>
    <n v="2500"/>
    <n v="2551"/>
    <n v="2477"/>
    <n v="2509"/>
    <n v="250000"/>
    <x v="1"/>
  </r>
  <r>
    <s v="TR472"/>
    <x v="2"/>
    <x v="2"/>
    <x v="2"/>
    <x v="2"/>
    <n v="1000"/>
    <n v="1034"/>
    <n v="989"/>
    <n v="994"/>
    <n v="100000"/>
    <x v="1"/>
  </r>
  <r>
    <s v="TR473"/>
    <x v="0"/>
    <x v="1"/>
    <x v="1"/>
    <x v="1"/>
    <n v="3500"/>
    <n v="3566"/>
    <n v="3490"/>
    <n v="3452"/>
    <n v="100000"/>
    <x v="175"/>
  </r>
  <r>
    <s v="TR474"/>
    <x v="3"/>
    <x v="2"/>
    <x v="2"/>
    <x v="2"/>
    <n v="2500"/>
    <n v="2522"/>
    <n v="2450"/>
    <n v="2495"/>
    <n v="100000"/>
    <x v="1"/>
  </r>
  <r>
    <s v="TR476"/>
    <x v="1"/>
    <x v="4"/>
    <x v="4"/>
    <x v="2"/>
    <n v="3500"/>
    <n v="3578"/>
    <n v="3463"/>
    <n v="3532"/>
    <n v="100000"/>
    <x v="176"/>
  </r>
  <r>
    <s v="TR476"/>
    <x v="3"/>
    <x v="0"/>
    <x v="0"/>
    <x v="0"/>
    <n v="1000"/>
    <n v="1091"/>
    <n v="990"/>
    <n v="983"/>
    <n v="500000"/>
    <x v="1"/>
  </r>
  <r>
    <s v="TR478"/>
    <x v="0"/>
    <x v="4"/>
    <x v="4"/>
    <x v="2"/>
    <m/>
    <m/>
    <m/>
    <m/>
    <n v="500000"/>
    <x v="1"/>
  </r>
  <r>
    <s v="TR479"/>
    <x v="3"/>
    <x v="3"/>
    <x v="3"/>
    <x v="3"/>
    <m/>
    <m/>
    <m/>
    <m/>
    <n v="100000"/>
    <x v="1"/>
  </r>
  <r>
    <s v="TR479"/>
    <x v="0"/>
    <x v="3"/>
    <x v="3"/>
    <x v="3"/>
    <n v="1000"/>
    <n v="1052"/>
    <n v="929"/>
    <n v="1033"/>
    <n v="100000"/>
    <x v="177"/>
  </r>
  <r>
    <s v="TR480"/>
    <x v="1"/>
    <x v="3"/>
    <x v="3"/>
    <x v="3"/>
    <m/>
    <m/>
    <m/>
    <m/>
    <n v="250000"/>
    <x v="1"/>
  </r>
  <r>
    <s v="TR482"/>
    <x v="3"/>
    <x v="4"/>
    <x v="4"/>
    <x v="2"/>
    <n v="2500"/>
    <n v="2555"/>
    <n v="2479"/>
    <n v="2478"/>
    <n v="250000"/>
    <x v="1"/>
  </r>
  <r>
    <s v="TR482"/>
    <x v="3"/>
    <x v="1"/>
    <x v="1"/>
    <x v="1"/>
    <n v="1000"/>
    <n v="1079"/>
    <n v="961"/>
    <n v="962"/>
    <n v="500000"/>
    <x v="1"/>
  </r>
  <r>
    <s v="TR483"/>
    <x v="3"/>
    <x v="2"/>
    <x v="2"/>
    <x v="2"/>
    <m/>
    <m/>
    <m/>
    <m/>
    <n v="500000"/>
    <x v="1"/>
  </r>
  <r>
    <s v="TR485"/>
    <x v="2"/>
    <x v="4"/>
    <x v="4"/>
    <x v="2"/>
    <n v="2500"/>
    <n v="2549"/>
    <n v="2481"/>
    <n v="2550"/>
    <n v="250000"/>
    <x v="1"/>
  </r>
  <r>
    <s v="TR485"/>
    <x v="3"/>
    <x v="3"/>
    <x v="3"/>
    <x v="3"/>
    <m/>
    <m/>
    <m/>
    <m/>
    <m/>
    <x v="1"/>
  </r>
  <r>
    <s v="TR487"/>
    <x v="3"/>
    <x v="3"/>
    <x v="3"/>
    <x v="3"/>
    <n v="2500"/>
    <n v="2535"/>
    <n v="2458"/>
    <n v="2485"/>
    <n v="100000"/>
    <x v="1"/>
  </r>
  <r>
    <s v="TR487"/>
    <x v="1"/>
    <x v="1"/>
    <x v="1"/>
    <x v="1"/>
    <n v="1000"/>
    <n v="1040"/>
    <n v="966"/>
    <n v="1008"/>
    <n v="250000"/>
    <x v="178"/>
  </r>
  <r>
    <s v="TR488"/>
    <x v="0"/>
    <x v="0"/>
    <x v="0"/>
    <x v="0"/>
    <n v="2500"/>
    <n v="2530"/>
    <n v="2449"/>
    <n v="2471"/>
    <n v="500000"/>
    <x v="179"/>
  </r>
  <r>
    <s v="TR489"/>
    <x v="2"/>
    <x v="0"/>
    <x v="0"/>
    <x v="0"/>
    <m/>
    <m/>
    <m/>
    <m/>
    <m/>
    <x v="1"/>
  </r>
  <r>
    <s v="TR490"/>
    <x v="2"/>
    <x v="0"/>
    <x v="0"/>
    <x v="0"/>
    <m/>
    <m/>
    <m/>
    <m/>
    <n v="100000"/>
    <x v="1"/>
  </r>
  <r>
    <s v="TR491"/>
    <x v="1"/>
    <x v="2"/>
    <x v="2"/>
    <x v="2"/>
    <m/>
    <m/>
    <m/>
    <m/>
    <n v="100000"/>
    <x v="1"/>
  </r>
  <r>
    <s v="TR493"/>
    <x v="2"/>
    <x v="1"/>
    <x v="1"/>
    <x v="2"/>
    <n v="1000"/>
    <n v="1098"/>
    <n v="933"/>
    <n v="1043"/>
    <n v="100000"/>
    <x v="1"/>
  </r>
  <r>
    <s v="TR493"/>
    <x v="2"/>
    <x v="4"/>
    <x v="4"/>
    <x v="2"/>
    <n v="3500"/>
    <n v="3573"/>
    <n v="3437"/>
    <n v="3499"/>
    <n v="250000"/>
    <x v="1"/>
  </r>
  <r>
    <s v="TR495"/>
    <x v="3"/>
    <x v="2"/>
    <x v="2"/>
    <x v="2"/>
    <n v="3500"/>
    <n v="3543"/>
    <n v="3458"/>
    <n v="3501"/>
    <n v="100000"/>
    <x v="1"/>
  </r>
  <r>
    <s v="TR496"/>
    <x v="1"/>
    <x v="3"/>
    <x v="3"/>
    <x v="3"/>
    <n v="3500"/>
    <n v="3523"/>
    <n v="3463"/>
    <n v="3488"/>
    <n v="500000"/>
    <x v="180"/>
  </r>
  <r>
    <s v="TR497"/>
    <x v="0"/>
    <x v="3"/>
    <x v="3"/>
    <x v="3"/>
    <n v="3500"/>
    <n v="3528"/>
    <n v="3489"/>
    <n v="3547"/>
    <n v="500000"/>
    <x v="181"/>
  </r>
  <r>
    <s v="TR497"/>
    <x v="2"/>
    <x v="3"/>
    <x v="3"/>
    <x v="3"/>
    <n v="2500"/>
    <n v="2558"/>
    <n v="2430"/>
    <n v="2492"/>
    <n v="250000"/>
    <x v="1"/>
  </r>
  <r>
    <s v="TR498"/>
    <x v="3"/>
    <x v="1"/>
    <x v="1"/>
    <x v="1"/>
    <n v="3500"/>
    <n v="3550"/>
    <n v="3459"/>
    <n v="3486"/>
    <n v="1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99706-9D45-4904-8342-FCAF4DE14B5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I14" firstHeaderRow="1" firstDataRow="1" firstDataCol="1"/>
  <pivotFields count="13">
    <pivotField showAll="0"/>
    <pivotField showAll="0">
      <items count="5">
        <item x="2"/>
        <item x="1"/>
        <item x="0"/>
        <item x="3"/>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 dataField="1" showAll="0">
      <items count="183">
        <item x="147"/>
        <item x="91"/>
        <item x="151"/>
        <item x="44"/>
        <item x="15"/>
        <item x="166"/>
        <item x="57"/>
        <item x="141"/>
        <item x="139"/>
        <item x="13"/>
        <item x="62"/>
        <item x="135"/>
        <item x="19"/>
        <item x="45"/>
        <item x="177"/>
        <item x="165"/>
        <item x="97"/>
        <item x="82"/>
        <item x="96"/>
        <item x="144"/>
        <item x="129"/>
        <item x="118"/>
        <item x="18"/>
        <item x="155"/>
        <item x="22"/>
        <item x="143"/>
        <item x="148"/>
        <item x="64"/>
        <item x="158"/>
        <item x="164"/>
        <item x="123"/>
        <item x="126"/>
        <item x="119"/>
        <item x="178"/>
        <item x="83"/>
        <item x="113"/>
        <item x="12"/>
        <item x="39"/>
        <item x="99"/>
        <item x="125"/>
        <item x="145"/>
        <item x="120"/>
        <item x="25"/>
        <item x="55"/>
        <item x="41"/>
        <item x="102"/>
        <item x="122"/>
        <item x="134"/>
        <item x="49"/>
        <item x="51"/>
        <item x="114"/>
        <item x="94"/>
        <item x="92"/>
        <item x="30"/>
        <item x="107"/>
        <item x="42"/>
        <item x="136"/>
        <item x="32"/>
        <item x="131"/>
        <item x="65"/>
        <item x="98"/>
        <item x="90"/>
        <item x="58"/>
        <item x="72"/>
        <item x="89"/>
        <item x="152"/>
        <item x="168"/>
        <item x="27"/>
        <item x="20"/>
        <item x="48"/>
        <item x="116"/>
        <item x="170"/>
        <item x="81"/>
        <item x="175"/>
        <item x="115"/>
        <item x="26"/>
        <item x="86"/>
        <item x="54"/>
        <item x="43"/>
        <item x="103"/>
        <item x="110"/>
        <item x="174"/>
        <item x="78"/>
        <item x="138"/>
        <item x="112"/>
        <item x="52"/>
        <item x="2"/>
        <item x="40"/>
        <item x="179"/>
        <item x="162"/>
        <item x="79"/>
        <item x="33"/>
        <item x="156"/>
        <item x="28"/>
        <item x="140"/>
        <item x="167"/>
        <item x="21"/>
        <item x="137"/>
        <item x="108"/>
        <item x="101"/>
        <item x="181"/>
        <item x="73"/>
        <item x="150"/>
        <item x="153"/>
        <item x="87"/>
        <item x="161"/>
        <item x="37"/>
        <item x="160"/>
        <item x="4"/>
        <item x="100"/>
        <item x="104"/>
        <item x="169"/>
        <item x="70"/>
        <item x="85"/>
        <item x="142"/>
        <item x="149"/>
        <item x="24"/>
        <item x="173"/>
        <item x="77"/>
        <item x="47"/>
        <item x="0"/>
        <item x="63"/>
        <item x="180"/>
        <item x="146"/>
        <item x="14"/>
        <item x="76"/>
        <item x="157"/>
        <item x="36"/>
        <item x="117"/>
        <item x="124"/>
        <item x="59"/>
        <item x="8"/>
        <item x="53"/>
        <item x="69"/>
        <item x="3"/>
        <item x="109"/>
        <item x="88"/>
        <item x="159"/>
        <item x="84"/>
        <item x="68"/>
        <item x="56"/>
        <item x="10"/>
        <item x="50"/>
        <item x="35"/>
        <item x="128"/>
        <item x="31"/>
        <item x="176"/>
        <item x="75"/>
        <item x="121"/>
        <item x="105"/>
        <item x="9"/>
        <item x="61"/>
        <item x="5"/>
        <item x="11"/>
        <item x="93"/>
        <item x="154"/>
        <item x="17"/>
        <item x="29"/>
        <item x="106"/>
        <item x="132"/>
        <item x="111"/>
        <item x="46"/>
        <item x="16"/>
        <item x="60"/>
        <item x="80"/>
        <item x="172"/>
        <item x="67"/>
        <item x="130"/>
        <item x="133"/>
        <item x="38"/>
        <item x="34"/>
        <item x="74"/>
        <item x="163"/>
        <item x="23"/>
        <item x="95"/>
        <item x="7"/>
        <item x="6"/>
        <item x="127"/>
        <item x="66"/>
        <item x="171"/>
        <item x="71"/>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Average of Return" fld="10" subtotal="average" baseField="0" baseItem="0" numFmtId="10"/>
  </dataFields>
  <formats count="7">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6C84F-498B-49E1-8195-0071877BF57D}"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F9:G14" firstHeaderRow="1" firstDataRow="1" firstDataCol="1"/>
  <pivotFields count="13">
    <pivotField showAll="0"/>
    <pivotField axis="axisRow" showAll="0">
      <items count="5">
        <item x="2"/>
        <item x="1"/>
        <item x="0"/>
        <item x="3"/>
        <item t="default"/>
      </items>
    </pivotField>
    <pivotField showAll="0">
      <items count="6">
        <item x="3"/>
        <item x="4"/>
        <item x="0"/>
        <item x="1"/>
        <item x="2"/>
        <item t="default"/>
      </items>
    </pivotField>
    <pivotField showAll="0">
      <items count="6">
        <item x="3"/>
        <item x="4"/>
        <item x="0"/>
        <item x="1"/>
        <item x="2"/>
        <item t="default"/>
      </items>
    </pivotField>
    <pivotField showAll="0">
      <items count="5">
        <item x="1"/>
        <item x="3"/>
        <item x="0"/>
        <item x="2"/>
        <item t="default"/>
      </items>
    </pivotField>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1"/>
  </rowFields>
  <rowItems count="5">
    <i>
      <x/>
    </i>
    <i>
      <x v="1"/>
    </i>
    <i>
      <x v="2"/>
    </i>
    <i>
      <x v="3"/>
    </i>
    <i t="grand">
      <x/>
    </i>
  </rowItems>
  <colItems count="1">
    <i/>
  </colItems>
  <dataFields count="1">
    <dataField name="Average of Close" fld="8" subtotal="average" baseField="0" baseItem="0"/>
  </dataFields>
  <formats count="6">
    <format dxfId="12">
      <pivotArea type="all" dataOnly="0" outline="0" fieldPosition="0"/>
    </format>
    <format dxfId="11">
      <pivotArea outline="0" collapsedLevelsAreSubtotals="1" fieldPosition="0"/>
    </format>
    <format dxfId="10">
      <pivotArea field="12" type="button" dataOnly="0" labelOnly="1" outline="0" axis="axisRow" fieldPosition="0"/>
    </format>
    <format dxfId="9">
      <pivotArea dataOnly="0" labelOnly="1" fieldPosition="0">
        <references count="1">
          <reference field="12" count="4">
            <x v="0"/>
            <x v="1"/>
            <x v="2"/>
            <x v="3"/>
          </reference>
        </references>
      </pivotArea>
    </format>
    <format dxfId="8">
      <pivotArea dataOnly="0" labelOnly="1" grandRow="1" outline="0" fieldPosition="0"/>
    </format>
    <format dxfId="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614C9-3ECD-4401-ACD2-DFC3C52B393F}"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C9:E15" firstHeaderRow="0" firstDataRow="1" firstDataCol="1"/>
  <pivotFields count="13">
    <pivotField showAll="0"/>
    <pivotField showAll="0">
      <items count="5">
        <item x="2"/>
        <item x="1"/>
        <item x="0"/>
        <item x="3"/>
        <item t="default"/>
      </items>
    </pivotField>
    <pivotField axis="axisRow" showAll="0">
      <items count="6">
        <item x="3"/>
        <item x="4"/>
        <item x="0"/>
        <item x="1"/>
        <item x="2"/>
        <item t="default"/>
      </items>
    </pivotField>
    <pivotField showAll="0">
      <items count="6">
        <item x="3"/>
        <item x="4"/>
        <item x="0"/>
        <item x="1"/>
        <item x="2"/>
        <item t="default"/>
      </items>
    </pivotField>
    <pivotField showAll="0">
      <items count="5">
        <item x="1"/>
        <item x="3"/>
        <item x="0"/>
        <item x="2"/>
        <item t="default"/>
      </items>
    </pivotField>
    <pivotField showAll="0"/>
    <pivotField showAll="0"/>
    <pivotField showAll="0"/>
    <pivotField showAll="0"/>
    <pivotField dataField="1" showAll="0"/>
    <pivotField dataField="1" showAll="0">
      <items count="183">
        <item x="147"/>
        <item x="91"/>
        <item x="151"/>
        <item x="44"/>
        <item x="15"/>
        <item x="166"/>
        <item x="57"/>
        <item x="141"/>
        <item x="139"/>
        <item x="13"/>
        <item x="62"/>
        <item x="135"/>
        <item x="19"/>
        <item x="45"/>
        <item x="177"/>
        <item x="165"/>
        <item x="97"/>
        <item x="82"/>
        <item x="96"/>
        <item x="144"/>
        <item x="129"/>
        <item x="118"/>
        <item x="18"/>
        <item x="155"/>
        <item x="22"/>
        <item x="143"/>
        <item x="148"/>
        <item x="64"/>
        <item x="158"/>
        <item x="164"/>
        <item x="123"/>
        <item x="126"/>
        <item x="119"/>
        <item x="178"/>
        <item x="83"/>
        <item x="113"/>
        <item x="12"/>
        <item x="39"/>
        <item x="99"/>
        <item x="125"/>
        <item x="145"/>
        <item x="120"/>
        <item x="25"/>
        <item x="55"/>
        <item x="41"/>
        <item x="102"/>
        <item x="122"/>
        <item x="134"/>
        <item x="49"/>
        <item x="51"/>
        <item x="114"/>
        <item x="94"/>
        <item x="92"/>
        <item x="30"/>
        <item x="107"/>
        <item x="42"/>
        <item x="136"/>
        <item x="32"/>
        <item x="131"/>
        <item x="65"/>
        <item x="98"/>
        <item x="90"/>
        <item x="58"/>
        <item x="72"/>
        <item x="89"/>
        <item x="152"/>
        <item x="168"/>
        <item x="27"/>
        <item x="20"/>
        <item x="48"/>
        <item x="116"/>
        <item x="170"/>
        <item x="81"/>
        <item x="175"/>
        <item x="115"/>
        <item x="26"/>
        <item x="86"/>
        <item x="54"/>
        <item x="43"/>
        <item x="103"/>
        <item x="110"/>
        <item x="174"/>
        <item x="78"/>
        <item x="138"/>
        <item x="112"/>
        <item x="52"/>
        <item x="2"/>
        <item x="40"/>
        <item x="179"/>
        <item x="162"/>
        <item x="79"/>
        <item x="33"/>
        <item x="156"/>
        <item x="28"/>
        <item x="140"/>
        <item x="167"/>
        <item x="21"/>
        <item x="137"/>
        <item x="108"/>
        <item x="101"/>
        <item x="181"/>
        <item x="73"/>
        <item x="150"/>
        <item x="153"/>
        <item x="87"/>
        <item x="161"/>
        <item x="37"/>
        <item x="160"/>
        <item x="4"/>
        <item x="100"/>
        <item x="104"/>
        <item x="169"/>
        <item x="70"/>
        <item x="85"/>
        <item x="142"/>
        <item x="149"/>
        <item x="24"/>
        <item x="173"/>
        <item x="77"/>
        <item x="47"/>
        <item x="0"/>
        <item x="63"/>
        <item x="180"/>
        <item x="146"/>
        <item x="14"/>
        <item x="76"/>
        <item x="157"/>
        <item x="36"/>
        <item x="117"/>
        <item x="124"/>
        <item x="59"/>
        <item x="8"/>
        <item x="53"/>
        <item x="69"/>
        <item x="3"/>
        <item x="109"/>
        <item x="88"/>
        <item x="159"/>
        <item x="84"/>
        <item x="68"/>
        <item x="56"/>
        <item x="10"/>
        <item x="50"/>
        <item x="35"/>
        <item x="128"/>
        <item x="31"/>
        <item x="176"/>
        <item x="75"/>
        <item x="121"/>
        <item x="105"/>
        <item x="9"/>
        <item x="61"/>
        <item x="5"/>
        <item x="11"/>
        <item x="93"/>
        <item x="154"/>
        <item x="17"/>
        <item x="29"/>
        <item x="106"/>
        <item x="132"/>
        <item x="111"/>
        <item x="46"/>
        <item x="16"/>
        <item x="60"/>
        <item x="80"/>
        <item x="172"/>
        <item x="67"/>
        <item x="130"/>
        <item x="133"/>
        <item x="38"/>
        <item x="34"/>
        <item x="74"/>
        <item x="163"/>
        <item x="23"/>
        <item x="95"/>
        <item x="7"/>
        <item x="6"/>
        <item x="127"/>
        <item x="66"/>
        <item x="171"/>
        <item x="71"/>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Average of Return" fld="10" subtotal="average" baseField="0" baseItem="0" numFmtId="10"/>
    <dataField name="Sum of Volume" fld="9" baseField="0" baseItem="0"/>
  </dataFields>
  <formats count="7">
    <format dxfId="41">
      <pivotArea outline="0" collapsedLevelsAreSubtotals="1" fieldPosition="0">
        <references count="1">
          <reference field="4294967294" count="1" selected="0">
            <x v="0"/>
          </reference>
        </references>
      </pivotArea>
    </format>
    <format dxfId="18">
      <pivotArea type="all" dataOnly="0" outline="0" fieldPosition="0"/>
    </format>
    <format dxfId="17">
      <pivotArea outline="0" collapsedLevelsAreSubtotals="1"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45C8D9-EBB8-4BA8-BBEC-5662BE916A13}"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9:B15" firstHeaderRow="1" firstDataRow="1" firstDataCol="1"/>
  <pivotFields count="13">
    <pivotField showAll="0"/>
    <pivotField showAll="0">
      <items count="5">
        <item x="2"/>
        <item x="1"/>
        <item x="0"/>
        <item x="3"/>
        <item t="default"/>
      </items>
    </pivotField>
    <pivotField axis="axisRow" showAll="0">
      <items count="6">
        <item x="3"/>
        <item x="4"/>
        <item x="0"/>
        <item x="1"/>
        <item x="2"/>
        <item t="default"/>
      </items>
    </pivotField>
    <pivotField showAll="0">
      <items count="6">
        <item x="3"/>
        <item x="4"/>
        <item x="0"/>
        <item x="1"/>
        <item x="2"/>
        <item t="default"/>
      </items>
    </pivotField>
    <pivotField showAll="0">
      <items count="5">
        <item x="1"/>
        <item x="3"/>
        <item x="0"/>
        <item x="2"/>
        <item t="default"/>
      </items>
    </pivotField>
    <pivotField showAll="0"/>
    <pivotField showAll="0"/>
    <pivotField showAll="0"/>
    <pivotField showAll="0"/>
    <pivotField showAll="0"/>
    <pivotField dataField="1" showAll="0">
      <items count="183">
        <item x="147"/>
        <item x="91"/>
        <item x="151"/>
        <item x="44"/>
        <item x="15"/>
        <item x="166"/>
        <item x="57"/>
        <item x="141"/>
        <item x="139"/>
        <item x="13"/>
        <item x="62"/>
        <item x="135"/>
        <item x="19"/>
        <item x="45"/>
        <item x="177"/>
        <item x="165"/>
        <item x="97"/>
        <item x="82"/>
        <item x="96"/>
        <item x="144"/>
        <item x="129"/>
        <item x="118"/>
        <item x="18"/>
        <item x="155"/>
        <item x="22"/>
        <item x="143"/>
        <item x="148"/>
        <item x="64"/>
        <item x="158"/>
        <item x="164"/>
        <item x="123"/>
        <item x="126"/>
        <item x="119"/>
        <item x="178"/>
        <item x="83"/>
        <item x="113"/>
        <item x="12"/>
        <item x="39"/>
        <item x="99"/>
        <item x="125"/>
        <item x="145"/>
        <item x="120"/>
        <item x="25"/>
        <item x="55"/>
        <item x="41"/>
        <item x="102"/>
        <item x="122"/>
        <item x="134"/>
        <item x="49"/>
        <item x="51"/>
        <item x="114"/>
        <item x="94"/>
        <item x="92"/>
        <item x="30"/>
        <item x="107"/>
        <item x="42"/>
        <item x="136"/>
        <item x="32"/>
        <item x="131"/>
        <item x="65"/>
        <item x="98"/>
        <item x="90"/>
        <item x="58"/>
        <item x="72"/>
        <item x="89"/>
        <item x="152"/>
        <item x="168"/>
        <item x="27"/>
        <item x="20"/>
        <item x="48"/>
        <item x="116"/>
        <item x="170"/>
        <item x="81"/>
        <item x="175"/>
        <item x="115"/>
        <item x="26"/>
        <item x="86"/>
        <item x="54"/>
        <item x="43"/>
        <item x="103"/>
        <item x="110"/>
        <item x="174"/>
        <item x="78"/>
        <item x="138"/>
        <item x="112"/>
        <item x="52"/>
        <item x="2"/>
        <item x="40"/>
        <item x="179"/>
        <item x="162"/>
        <item x="79"/>
        <item x="33"/>
        <item x="156"/>
        <item x="28"/>
        <item x="140"/>
        <item x="167"/>
        <item x="21"/>
        <item x="137"/>
        <item x="108"/>
        <item x="101"/>
        <item x="181"/>
        <item x="73"/>
        <item x="150"/>
        <item x="153"/>
        <item x="87"/>
        <item x="161"/>
        <item x="37"/>
        <item x="160"/>
        <item x="4"/>
        <item x="100"/>
        <item x="104"/>
        <item x="169"/>
        <item x="70"/>
        <item x="85"/>
        <item x="142"/>
        <item x="149"/>
        <item x="24"/>
        <item x="173"/>
        <item x="77"/>
        <item x="47"/>
        <item x="0"/>
        <item x="63"/>
        <item x="180"/>
        <item x="146"/>
        <item x="14"/>
        <item x="76"/>
        <item x="157"/>
        <item x="36"/>
        <item x="117"/>
        <item x="124"/>
        <item x="59"/>
        <item x="8"/>
        <item x="53"/>
        <item x="69"/>
        <item x="3"/>
        <item x="109"/>
        <item x="88"/>
        <item x="159"/>
        <item x="84"/>
        <item x="68"/>
        <item x="56"/>
        <item x="10"/>
        <item x="50"/>
        <item x="35"/>
        <item x="128"/>
        <item x="31"/>
        <item x="176"/>
        <item x="75"/>
        <item x="121"/>
        <item x="105"/>
        <item x="9"/>
        <item x="61"/>
        <item x="5"/>
        <item x="11"/>
        <item x="93"/>
        <item x="154"/>
        <item x="17"/>
        <item x="29"/>
        <item x="106"/>
        <item x="132"/>
        <item x="111"/>
        <item x="46"/>
        <item x="16"/>
        <item x="60"/>
        <item x="80"/>
        <item x="172"/>
        <item x="67"/>
        <item x="130"/>
        <item x="133"/>
        <item x="38"/>
        <item x="34"/>
        <item x="74"/>
        <item x="163"/>
        <item x="23"/>
        <item x="95"/>
        <item x="7"/>
        <item x="6"/>
        <item x="127"/>
        <item x="66"/>
        <item x="171"/>
        <item x="71"/>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Average of Return" fld="10" subtotal="average" baseField="0" baseItem="0" numFmtId="10"/>
  </dataFields>
  <formats count="7">
    <format dxfId="42">
      <pivotArea outline="0" collapsedLevelsAreSubtotals="1" fieldPosition="0"/>
    </format>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669943E0-5E26-4E61-89E8-5B1AFEACB982}" sourceName="Ticker">
  <pivotTables>
    <pivotTable tabId="8" name="PivotTable1"/>
    <pivotTable tabId="8" name="PivotTable2"/>
    <pivotTable tabId="8" name="PivotTable3"/>
  </pivotTables>
  <data>
    <tabular pivotCacheId="1288066975">
      <items count="5">
        <i x="3" s="1"/>
        <i x="4"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BA4E8DDB-7E3A-4BAF-9198-B4037D36BD9D}" sourceName="Company">
  <pivotTables>
    <pivotTable tabId="8" name="PivotTable1"/>
    <pivotTable tabId="8" name="PivotTable2"/>
    <pivotTable tabId="8" name="PivotTable3"/>
  </pivotTables>
  <data>
    <tabular pivotCacheId="1288066975">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169C182-6F47-4C63-B346-38F38E9AFE23}" sourceName="Sector">
  <pivotTables>
    <pivotTable tabId="8" name="PivotTable1"/>
    <pivotTable tabId="8" name="PivotTable2"/>
    <pivotTable tabId="8" name="PivotTable3"/>
  </pivotTables>
  <data>
    <tabular pivotCacheId="1288066975">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xr10:uid="{8DFA1D53-E596-4EE0-9EC3-4CE0D832544D}" cache="Slicer_Ticker" caption="Ticker" rowHeight="234950"/>
  <slicer name="Company" xr10:uid="{72FBA97D-2301-4398-881B-7C4F8443527E}" cache="Slicer_Company" caption="Company" rowHeight="234950"/>
  <slicer name="Sector" xr10:uid="{922F425E-AD54-4013-A453-4BD1B8A90C06}" cache="Slicer_Sector" caption="Sect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E90D5A-B757-40D1-9FFA-610B954FCFB2}" name="Table1" displayName="Table1" ref="A1:K501" totalsRowShown="0" headerRowDxfId="40" headerRowBorderDxfId="39">
  <autoFilter ref="A1:K501" xr:uid="{00000000-0009-0000-0000-000003000000}"/>
  <tableColumns count="11">
    <tableColumn id="1" xr3:uid="{2A953DF5-BED2-459E-87B8-5051ED74A2B2}" name="Trade_ID"/>
    <tableColumn id="2" xr3:uid="{2C6D3416-BD2E-4EEC-B15A-2989875A82F3}" name="Date" dataDxfId="38"/>
    <tableColumn id="3" xr3:uid="{0E7D90FF-C278-49BB-BFC7-6B5E79CFAF74}" name="Ticker"/>
    <tableColumn id="4" xr3:uid="{84B187E5-8561-408D-93FF-742ABF116CC3}" name="Company"/>
    <tableColumn id="5" xr3:uid="{203622BA-422B-4F7F-929D-332FB24A0390}" name="Sector"/>
    <tableColumn id="6" xr3:uid="{6AD94816-CB9C-495B-9CBD-DA2D4D4DF673}" name="Open" dataDxfId="37"/>
    <tableColumn id="7" xr3:uid="{A5F180F9-6D46-4E49-A155-E9855F08143B}" name="High" dataDxfId="36"/>
    <tableColumn id="8" xr3:uid="{077CA147-0EA3-4166-BA10-887C17B4B27B}" name="Low" dataDxfId="35"/>
    <tableColumn id="9" xr3:uid="{67066217-36C5-4EC3-8D21-04901E23567B}" name="Close" dataDxfId="34"/>
    <tableColumn id="10" xr3:uid="{92F9EA92-FF0B-4293-9549-BBCCE699F293}" name="Volume" dataDxfId="33"/>
    <tableColumn id="11" xr3:uid="{3BCCD7DF-9028-4F35-A70E-845672944484}" name="Return" dataDxfId="32">
      <calculatedColumnFormula array="1">IF(OR(C2="",B2="",I2=""),"",IFERROR((I2-_xlfn.XLOOKUP(1,(C$2:C$501=C2)*(B$2:B$501&lt;&gt;"")*(B$2:B$501=_xlfn.MAXIFS(B$2:B$501,C$2:C$501,C2,B$2:B$501,"&lt;"&amp;B2))*(I$2:I$501&lt;&gt;""),I$2:I$501))/_xlfn.XLOOKUP(1,(C$2:C$501=C2)*(B$2:B$501&lt;&gt;"")*(B$2:B$501=_xlfn.MAXIFS(B$2:B$501,C$2:C$501,C2,B$2:B$501,"&lt;"&amp;B2))*(I$2:I$501&lt;&gt;""),I$2:I$501)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1D9A2D-0790-4CB9-962A-D7D54AB694C0}" name="Table2" displayName="Table2" ref="A1:C6" totalsRowShown="0" headerRowDxfId="31" headerRowBorderDxfId="30">
  <autoFilter ref="A1:C6" xr:uid="{00000000-0009-0000-0000-000004000000}"/>
  <tableColumns count="3">
    <tableColumn id="1" xr3:uid="{FD404ECA-0F58-4967-BE01-BECE10539FB5}" name="Ticker"/>
    <tableColumn id="2" xr3:uid="{E280083B-3DD9-4CA3-8125-B3D10B738AEE}" name="Market_Cap" dataDxfId="29"/>
    <tableColumn id="3" xr3:uid="{045CCE37-3988-4F46-BADD-77BD166E36B5}" name="PE_Ratio" dataDxfId="2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70075D-1C38-4E1F-8BAE-A4ED16614964}" name="Table3" displayName="Table3" ref="A1:B5" totalsRowShown="0" headerRowDxfId="27" headerRowBorderDxfId="26">
  <autoFilter ref="A1:B5" xr:uid="{00000000-0009-0000-0000-000005000000}"/>
  <tableColumns count="2">
    <tableColumn id="1" xr3:uid="{12CCF83B-140C-49F4-835F-1C119DE2D295}" name="Sector"/>
    <tableColumn id="2" xr3:uid="{ED497671-D65B-4642-87AD-A634089DB7A6}" name="Benchmark_Return" dataDxfId="2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5DC2D84-1EC1-4C49-BA5D-D20E84832261}" sourceName="Date">
  <pivotTables>
    <pivotTable tabId="8" name="PivotTable1"/>
    <pivotTable tabId="8" name="PivotTable2"/>
    <pivotTable tabId="8" name="PivotTable3"/>
  </pivotTables>
  <state minimalRefreshVersion="6" lastRefreshVersion="6" pivotCacheId="128806697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24D5289-08DD-4A71-9207-EB5343091325}" cache="NativeTimeline_Date" caption="Date" level="2" selectionLevel="2" scrollPosition="2026-05-18T00:00:00"/>
</timeline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heetViews>
  <sheetFormatPr defaultRowHeight="14.4"/>
  <sheetData>
    <row r="1" spans="1:10">
      <c r="A1" t="s">
        <v>0</v>
      </c>
      <c r="B1" t="s">
        <v>1</v>
      </c>
      <c r="C1" t="s">
        <v>2</v>
      </c>
      <c r="D1" t="s">
        <v>3</v>
      </c>
      <c r="E1" t="s">
        <v>4</v>
      </c>
      <c r="F1" t="s">
        <v>5</v>
      </c>
      <c r="G1" t="s">
        <v>6</v>
      </c>
      <c r="H1" t="s">
        <v>7</v>
      </c>
      <c r="I1" t="s">
        <v>8</v>
      </c>
      <c r="J1" t="s">
        <v>9</v>
      </c>
    </row>
    <row r="2" spans="1:10">
      <c r="A2" t="s">
        <v>10</v>
      </c>
      <c r="B2" t="s">
        <v>11</v>
      </c>
      <c r="C2" t="s">
        <v>12</v>
      </c>
      <c r="D2" t="s">
        <v>13</v>
      </c>
      <c r="F2">
        <v>2500</v>
      </c>
      <c r="G2">
        <v>2566</v>
      </c>
      <c r="H2">
        <v>2433</v>
      </c>
      <c r="I2">
        <v>2543</v>
      </c>
      <c r="J2">
        <v>100000</v>
      </c>
    </row>
    <row r="3" spans="1:10">
      <c r="A3" t="s">
        <v>14</v>
      </c>
      <c r="B3" t="s">
        <v>15</v>
      </c>
      <c r="C3" t="s">
        <v>16</v>
      </c>
      <c r="D3" t="s">
        <v>17</v>
      </c>
      <c r="E3" t="s">
        <v>18</v>
      </c>
      <c r="J3" t="s">
        <v>19</v>
      </c>
    </row>
    <row r="4" spans="1:10">
      <c r="A4" t="s">
        <v>20</v>
      </c>
      <c r="B4" t="s">
        <v>21</v>
      </c>
      <c r="C4" t="s">
        <v>22</v>
      </c>
      <c r="D4" t="s">
        <v>22</v>
      </c>
      <c r="E4" t="s">
        <v>23</v>
      </c>
      <c r="F4">
        <v>1000</v>
      </c>
      <c r="G4">
        <v>1061</v>
      </c>
      <c r="H4">
        <v>960</v>
      </c>
      <c r="I4">
        <v>979</v>
      </c>
      <c r="J4">
        <v>250000</v>
      </c>
    </row>
    <row r="5" spans="1:10">
      <c r="A5" t="s">
        <v>24</v>
      </c>
      <c r="B5" t="s">
        <v>15</v>
      </c>
      <c r="C5" t="s">
        <v>12</v>
      </c>
      <c r="D5" t="s">
        <v>13</v>
      </c>
      <c r="F5">
        <v>2500</v>
      </c>
      <c r="G5">
        <v>2520</v>
      </c>
      <c r="H5">
        <v>2457</v>
      </c>
      <c r="I5">
        <v>2471</v>
      </c>
      <c r="J5">
        <v>250000</v>
      </c>
    </row>
    <row r="6" spans="1:10">
      <c r="A6" t="s">
        <v>25</v>
      </c>
      <c r="B6" t="s">
        <v>21</v>
      </c>
      <c r="C6" t="s">
        <v>22</v>
      </c>
      <c r="D6" t="s">
        <v>22</v>
      </c>
      <c r="E6" t="s">
        <v>23</v>
      </c>
      <c r="F6">
        <v>3500</v>
      </c>
      <c r="G6">
        <v>3600</v>
      </c>
      <c r="H6">
        <v>3425</v>
      </c>
      <c r="I6">
        <v>3451</v>
      </c>
    </row>
    <row r="7" spans="1:10">
      <c r="A7" t="s">
        <v>25</v>
      </c>
      <c r="B7" t="s">
        <v>15</v>
      </c>
      <c r="C7" t="s">
        <v>26</v>
      </c>
      <c r="D7" t="s">
        <v>27</v>
      </c>
      <c r="E7" t="s">
        <v>28</v>
      </c>
      <c r="J7" t="s">
        <v>19</v>
      </c>
    </row>
    <row r="8" spans="1:10">
      <c r="A8" t="s">
        <v>29</v>
      </c>
      <c r="B8" t="s">
        <v>15</v>
      </c>
      <c r="C8" t="s">
        <v>16</v>
      </c>
      <c r="D8" t="s">
        <v>17</v>
      </c>
      <c r="E8" t="s">
        <v>30</v>
      </c>
      <c r="F8">
        <v>3500</v>
      </c>
      <c r="G8">
        <v>3544</v>
      </c>
      <c r="H8">
        <v>3435</v>
      </c>
      <c r="I8">
        <v>3471</v>
      </c>
      <c r="J8" t="s">
        <v>19</v>
      </c>
    </row>
    <row r="9" spans="1:10">
      <c r="A9" t="s">
        <v>31</v>
      </c>
      <c r="B9" t="s">
        <v>11</v>
      </c>
      <c r="C9" t="s">
        <v>16</v>
      </c>
      <c r="D9" t="s">
        <v>17</v>
      </c>
      <c r="E9" t="s">
        <v>30</v>
      </c>
      <c r="F9">
        <v>3500</v>
      </c>
      <c r="G9">
        <v>3556</v>
      </c>
      <c r="H9">
        <v>3482</v>
      </c>
      <c r="I9">
        <v>3508</v>
      </c>
      <c r="J9">
        <v>100000</v>
      </c>
    </row>
    <row r="10" spans="1:10">
      <c r="A10" t="s">
        <v>31</v>
      </c>
      <c r="B10" t="s">
        <v>11</v>
      </c>
      <c r="C10" t="s">
        <v>12</v>
      </c>
      <c r="D10" t="s">
        <v>13</v>
      </c>
      <c r="F10">
        <v>3500</v>
      </c>
      <c r="G10">
        <v>3570</v>
      </c>
      <c r="H10">
        <v>3423</v>
      </c>
      <c r="I10">
        <v>3522</v>
      </c>
      <c r="J10" t="s">
        <v>19</v>
      </c>
    </row>
    <row r="11" spans="1:10">
      <c r="A11" t="s">
        <v>32</v>
      </c>
      <c r="B11" t="s">
        <v>21</v>
      </c>
      <c r="C11" t="s">
        <v>12</v>
      </c>
      <c r="D11" t="s">
        <v>13</v>
      </c>
      <c r="J11">
        <v>250000</v>
      </c>
    </row>
    <row r="12" spans="1:10">
      <c r="A12" t="s">
        <v>33</v>
      </c>
      <c r="B12" t="s">
        <v>21</v>
      </c>
      <c r="C12" t="s">
        <v>16</v>
      </c>
      <c r="D12" t="s">
        <v>17</v>
      </c>
      <c r="E12" t="s">
        <v>30</v>
      </c>
      <c r="F12">
        <v>2500</v>
      </c>
      <c r="G12">
        <v>2546</v>
      </c>
      <c r="H12">
        <v>2472</v>
      </c>
      <c r="I12">
        <v>2479</v>
      </c>
      <c r="J12" t="s">
        <v>19</v>
      </c>
    </row>
    <row r="13" spans="1:10">
      <c r="A13" t="s">
        <v>33</v>
      </c>
      <c r="B13" t="s">
        <v>21</v>
      </c>
      <c r="C13" t="s">
        <v>26</v>
      </c>
      <c r="D13" t="s">
        <v>27</v>
      </c>
      <c r="F13">
        <v>2500</v>
      </c>
      <c r="G13">
        <v>2551</v>
      </c>
      <c r="H13">
        <v>2475</v>
      </c>
      <c r="I13">
        <v>2529</v>
      </c>
      <c r="J13" t="s">
        <v>19</v>
      </c>
    </row>
    <row r="14" spans="1:10">
      <c r="A14" t="s">
        <v>34</v>
      </c>
      <c r="C14" t="s">
        <v>22</v>
      </c>
      <c r="D14" t="s">
        <v>22</v>
      </c>
      <c r="F14">
        <v>2500</v>
      </c>
      <c r="G14">
        <v>2558</v>
      </c>
      <c r="H14">
        <v>2472</v>
      </c>
      <c r="I14">
        <v>2490</v>
      </c>
      <c r="J14">
        <v>100000</v>
      </c>
    </row>
    <row r="15" spans="1:10">
      <c r="A15" t="s">
        <v>34</v>
      </c>
      <c r="B15" t="s">
        <v>15</v>
      </c>
      <c r="C15" t="s">
        <v>22</v>
      </c>
      <c r="D15" t="s">
        <v>22</v>
      </c>
      <c r="E15" t="s">
        <v>23</v>
      </c>
      <c r="F15">
        <v>3500</v>
      </c>
      <c r="G15">
        <v>3526</v>
      </c>
      <c r="H15">
        <v>3431</v>
      </c>
      <c r="I15">
        <v>3526</v>
      </c>
      <c r="J15" t="s">
        <v>19</v>
      </c>
    </row>
    <row r="16" spans="1:10">
      <c r="A16" t="s">
        <v>35</v>
      </c>
      <c r="B16" t="s">
        <v>15</v>
      </c>
      <c r="C16" t="s">
        <v>22</v>
      </c>
      <c r="D16" t="s">
        <v>22</v>
      </c>
      <c r="F16">
        <v>3500</v>
      </c>
      <c r="G16">
        <v>3515</v>
      </c>
      <c r="H16">
        <v>3483</v>
      </c>
      <c r="I16">
        <v>3484</v>
      </c>
    </row>
    <row r="17" spans="1:10">
      <c r="A17" t="s">
        <v>36</v>
      </c>
      <c r="C17" t="s">
        <v>12</v>
      </c>
      <c r="D17" t="s">
        <v>13</v>
      </c>
      <c r="E17" t="s">
        <v>37</v>
      </c>
      <c r="J17">
        <v>100000</v>
      </c>
    </row>
    <row r="18" spans="1:10">
      <c r="A18" t="s">
        <v>38</v>
      </c>
      <c r="B18" t="s">
        <v>11</v>
      </c>
      <c r="C18" t="s">
        <v>12</v>
      </c>
      <c r="D18" t="s">
        <v>13</v>
      </c>
      <c r="E18" t="s">
        <v>39</v>
      </c>
      <c r="F18">
        <v>3500</v>
      </c>
      <c r="G18">
        <v>3523</v>
      </c>
      <c r="H18">
        <v>3444</v>
      </c>
      <c r="I18">
        <v>3453</v>
      </c>
      <c r="J18">
        <v>100000</v>
      </c>
    </row>
    <row r="19" spans="1:10">
      <c r="A19" t="s">
        <v>40</v>
      </c>
      <c r="B19" t="s">
        <v>15</v>
      </c>
      <c r="C19" t="s">
        <v>16</v>
      </c>
      <c r="D19" t="s">
        <v>17</v>
      </c>
      <c r="E19" t="s">
        <v>30</v>
      </c>
      <c r="F19">
        <v>3500</v>
      </c>
      <c r="G19">
        <v>3571</v>
      </c>
      <c r="H19">
        <v>3429</v>
      </c>
      <c r="I19">
        <v>3530</v>
      </c>
    </row>
    <row r="20" spans="1:10">
      <c r="A20" t="s">
        <v>41</v>
      </c>
      <c r="B20" t="s">
        <v>15</v>
      </c>
      <c r="C20" t="s">
        <v>12</v>
      </c>
      <c r="D20" t="s">
        <v>13</v>
      </c>
      <c r="E20" t="s">
        <v>39</v>
      </c>
      <c r="F20">
        <v>3500</v>
      </c>
      <c r="G20">
        <v>3528</v>
      </c>
      <c r="H20">
        <v>3479</v>
      </c>
      <c r="I20">
        <v>3495</v>
      </c>
      <c r="J20" t="s">
        <v>19</v>
      </c>
    </row>
    <row r="21" spans="1:10">
      <c r="A21" t="s">
        <v>42</v>
      </c>
      <c r="C21" t="s">
        <v>43</v>
      </c>
      <c r="D21" t="s">
        <v>44</v>
      </c>
    </row>
    <row r="22" spans="1:10">
      <c r="A22" t="s">
        <v>42</v>
      </c>
      <c r="B22" t="s">
        <v>15</v>
      </c>
      <c r="C22" t="s">
        <v>12</v>
      </c>
      <c r="D22" t="s">
        <v>13</v>
      </c>
      <c r="F22">
        <v>3500</v>
      </c>
      <c r="G22">
        <v>3587</v>
      </c>
      <c r="H22">
        <v>3466</v>
      </c>
      <c r="I22">
        <v>3538</v>
      </c>
    </row>
    <row r="23" spans="1:10">
      <c r="A23" t="s">
        <v>45</v>
      </c>
      <c r="C23" t="s">
        <v>12</v>
      </c>
      <c r="D23" t="s">
        <v>13</v>
      </c>
      <c r="E23" t="s">
        <v>39</v>
      </c>
      <c r="F23">
        <v>3500</v>
      </c>
      <c r="G23">
        <v>3580</v>
      </c>
      <c r="H23">
        <v>3455</v>
      </c>
      <c r="I23">
        <v>3542</v>
      </c>
      <c r="J23">
        <v>100000</v>
      </c>
    </row>
    <row r="24" spans="1:10">
      <c r="A24" t="s">
        <v>45</v>
      </c>
      <c r="B24" t="s">
        <v>21</v>
      </c>
      <c r="C24" t="s">
        <v>16</v>
      </c>
      <c r="D24" t="s">
        <v>17</v>
      </c>
      <c r="E24" t="s">
        <v>30</v>
      </c>
      <c r="J24">
        <v>250000</v>
      </c>
    </row>
    <row r="25" spans="1:10">
      <c r="A25" t="s">
        <v>46</v>
      </c>
      <c r="C25" t="s">
        <v>43</v>
      </c>
      <c r="D25" t="s">
        <v>44</v>
      </c>
      <c r="J25">
        <v>250000</v>
      </c>
    </row>
    <row r="26" spans="1:10">
      <c r="A26" t="s">
        <v>47</v>
      </c>
      <c r="B26" t="s">
        <v>21</v>
      </c>
      <c r="C26" t="s">
        <v>12</v>
      </c>
      <c r="D26" t="s">
        <v>13</v>
      </c>
      <c r="F26">
        <v>2500</v>
      </c>
      <c r="G26">
        <v>2544</v>
      </c>
      <c r="H26">
        <v>2489</v>
      </c>
      <c r="I26">
        <v>2473</v>
      </c>
      <c r="J26">
        <v>250000</v>
      </c>
    </row>
    <row r="27" spans="1:10">
      <c r="A27" t="s">
        <v>48</v>
      </c>
      <c r="B27" t="s">
        <v>21</v>
      </c>
      <c r="C27" t="s">
        <v>22</v>
      </c>
      <c r="D27" t="s">
        <v>22</v>
      </c>
      <c r="E27" t="s">
        <v>23</v>
      </c>
      <c r="J27">
        <v>250000</v>
      </c>
    </row>
    <row r="28" spans="1:10">
      <c r="A28" t="s">
        <v>49</v>
      </c>
      <c r="B28" t="s">
        <v>11</v>
      </c>
      <c r="C28" t="s">
        <v>12</v>
      </c>
      <c r="D28" t="s">
        <v>13</v>
      </c>
      <c r="E28" t="s">
        <v>37</v>
      </c>
      <c r="F28">
        <v>1000</v>
      </c>
      <c r="G28">
        <v>1087</v>
      </c>
      <c r="H28">
        <v>973</v>
      </c>
      <c r="I28">
        <v>1029</v>
      </c>
    </row>
    <row r="29" spans="1:10">
      <c r="A29" t="s">
        <v>50</v>
      </c>
      <c r="C29" t="s">
        <v>26</v>
      </c>
      <c r="D29" t="s">
        <v>27</v>
      </c>
      <c r="E29" t="s">
        <v>51</v>
      </c>
      <c r="F29">
        <v>1000</v>
      </c>
      <c r="G29">
        <v>1049</v>
      </c>
      <c r="H29">
        <v>951</v>
      </c>
      <c r="I29">
        <v>956</v>
      </c>
      <c r="J29">
        <v>100000</v>
      </c>
    </row>
    <row r="30" spans="1:10">
      <c r="A30" t="s">
        <v>52</v>
      </c>
      <c r="C30" t="s">
        <v>43</v>
      </c>
      <c r="D30" t="s">
        <v>44</v>
      </c>
      <c r="E30" t="s">
        <v>23</v>
      </c>
      <c r="J30">
        <v>100000</v>
      </c>
    </row>
    <row r="31" spans="1:10">
      <c r="A31" t="s">
        <v>53</v>
      </c>
      <c r="B31" t="s">
        <v>15</v>
      </c>
      <c r="C31" t="s">
        <v>12</v>
      </c>
      <c r="D31" t="s">
        <v>13</v>
      </c>
      <c r="E31" t="s">
        <v>39</v>
      </c>
      <c r="J31">
        <v>100000</v>
      </c>
    </row>
    <row r="32" spans="1:10">
      <c r="A32" t="s">
        <v>53</v>
      </c>
      <c r="C32" t="s">
        <v>26</v>
      </c>
      <c r="D32" t="s">
        <v>27</v>
      </c>
      <c r="E32" t="s">
        <v>28</v>
      </c>
      <c r="F32">
        <v>2500</v>
      </c>
      <c r="G32">
        <v>2567</v>
      </c>
      <c r="H32">
        <v>2430</v>
      </c>
      <c r="I32">
        <v>2547</v>
      </c>
      <c r="J32" t="s">
        <v>19</v>
      </c>
    </row>
    <row r="33" spans="1:10">
      <c r="A33" t="s">
        <v>54</v>
      </c>
      <c r="C33" t="s">
        <v>26</v>
      </c>
      <c r="D33" t="s">
        <v>27</v>
      </c>
      <c r="F33">
        <v>2500</v>
      </c>
      <c r="G33">
        <v>2586</v>
      </c>
      <c r="H33">
        <v>2490</v>
      </c>
      <c r="I33">
        <v>2451</v>
      </c>
      <c r="J33">
        <v>250000</v>
      </c>
    </row>
    <row r="34" spans="1:10">
      <c r="A34" t="s">
        <v>55</v>
      </c>
      <c r="C34" t="s">
        <v>22</v>
      </c>
      <c r="D34" t="s">
        <v>22</v>
      </c>
      <c r="E34" t="s">
        <v>23</v>
      </c>
      <c r="F34">
        <v>1000</v>
      </c>
      <c r="G34">
        <v>1060</v>
      </c>
      <c r="H34">
        <v>957</v>
      </c>
      <c r="I34">
        <v>991</v>
      </c>
      <c r="J34">
        <v>250000</v>
      </c>
    </row>
    <row r="35" spans="1:10">
      <c r="A35" t="s">
        <v>56</v>
      </c>
      <c r="C35" t="s">
        <v>12</v>
      </c>
      <c r="D35" t="s">
        <v>13</v>
      </c>
      <c r="E35" t="s">
        <v>37</v>
      </c>
      <c r="F35">
        <v>1000</v>
      </c>
      <c r="G35">
        <v>1094</v>
      </c>
      <c r="H35">
        <v>926</v>
      </c>
      <c r="I35">
        <v>1034</v>
      </c>
    </row>
    <row r="36" spans="1:10">
      <c r="A36" t="s">
        <v>57</v>
      </c>
      <c r="B36" t="s">
        <v>11</v>
      </c>
      <c r="C36" t="s">
        <v>16</v>
      </c>
      <c r="D36" t="s">
        <v>17</v>
      </c>
      <c r="F36">
        <v>1000</v>
      </c>
      <c r="G36">
        <v>1024</v>
      </c>
      <c r="H36">
        <v>927</v>
      </c>
      <c r="I36">
        <v>1004</v>
      </c>
    </row>
    <row r="37" spans="1:10">
      <c r="A37" t="s">
        <v>58</v>
      </c>
      <c r="C37" t="s">
        <v>22</v>
      </c>
      <c r="D37" t="s">
        <v>22</v>
      </c>
      <c r="E37" t="s">
        <v>23</v>
      </c>
      <c r="F37">
        <v>2500</v>
      </c>
      <c r="G37">
        <v>2522</v>
      </c>
      <c r="H37">
        <v>2439</v>
      </c>
      <c r="I37">
        <v>2452</v>
      </c>
    </row>
    <row r="38" spans="1:10">
      <c r="A38" t="s">
        <v>59</v>
      </c>
      <c r="B38" t="s">
        <v>15</v>
      </c>
      <c r="C38" t="s">
        <v>16</v>
      </c>
      <c r="D38" t="s">
        <v>17</v>
      </c>
      <c r="E38" t="s">
        <v>30</v>
      </c>
      <c r="F38">
        <v>3500</v>
      </c>
      <c r="G38">
        <v>3567</v>
      </c>
      <c r="H38">
        <v>3473</v>
      </c>
      <c r="I38">
        <v>3450</v>
      </c>
      <c r="J38" t="s">
        <v>19</v>
      </c>
    </row>
    <row r="39" spans="1:10">
      <c r="A39" t="s">
        <v>60</v>
      </c>
      <c r="B39" t="s">
        <v>11</v>
      </c>
      <c r="C39" t="s">
        <v>16</v>
      </c>
      <c r="D39" t="s">
        <v>17</v>
      </c>
      <c r="E39" t="s">
        <v>30</v>
      </c>
      <c r="F39">
        <v>1000</v>
      </c>
      <c r="G39">
        <v>1070</v>
      </c>
      <c r="H39">
        <v>923</v>
      </c>
      <c r="I39">
        <v>980</v>
      </c>
      <c r="J39" t="s">
        <v>19</v>
      </c>
    </row>
    <row r="40" spans="1:10">
      <c r="A40" t="s">
        <v>60</v>
      </c>
      <c r="B40" t="s">
        <v>11</v>
      </c>
      <c r="C40" t="s">
        <v>43</v>
      </c>
      <c r="D40" t="s">
        <v>44</v>
      </c>
      <c r="F40">
        <v>2500</v>
      </c>
      <c r="G40">
        <v>2510</v>
      </c>
      <c r="H40">
        <v>2467</v>
      </c>
      <c r="I40">
        <v>2544</v>
      </c>
      <c r="J40">
        <v>250000</v>
      </c>
    </row>
    <row r="41" spans="1:10">
      <c r="A41" t="s">
        <v>61</v>
      </c>
      <c r="C41" t="s">
        <v>22</v>
      </c>
      <c r="D41" t="s">
        <v>22</v>
      </c>
      <c r="E41" t="s">
        <v>23</v>
      </c>
      <c r="J41">
        <v>100000</v>
      </c>
    </row>
    <row r="42" spans="1:10">
      <c r="A42" t="s">
        <v>62</v>
      </c>
      <c r="B42" t="s">
        <v>21</v>
      </c>
      <c r="C42" t="s">
        <v>16</v>
      </c>
      <c r="D42" t="s">
        <v>17</v>
      </c>
      <c r="E42" t="s">
        <v>30</v>
      </c>
      <c r="F42">
        <v>1000</v>
      </c>
      <c r="G42">
        <v>1091</v>
      </c>
      <c r="H42">
        <v>964</v>
      </c>
      <c r="I42">
        <v>975</v>
      </c>
    </row>
    <row r="43" spans="1:10">
      <c r="A43" t="s">
        <v>63</v>
      </c>
      <c r="B43" t="s">
        <v>21</v>
      </c>
      <c r="C43" t="s">
        <v>26</v>
      </c>
      <c r="D43" t="s">
        <v>27</v>
      </c>
      <c r="E43" t="s">
        <v>51</v>
      </c>
      <c r="F43">
        <v>3500</v>
      </c>
      <c r="G43">
        <v>3554</v>
      </c>
      <c r="H43">
        <v>3457</v>
      </c>
      <c r="I43">
        <v>3461</v>
      </c>
    </row>
    <row r="44" spans="1:10">
      <c r="A44" t="s">
        <v>64</v>
      </c>
      <c r="C44" t="s">
        <v>26</v>
      </c>
      <c r="D44" t="s">
        <v>27</v>
      </c>
      <c r="E44" t="s">
        <v>51</v>
      </c>
      <c r="F44">
        <v>1000</v>
      </c>
      <c r="G44">
        <v>1082</v>
      </c>
      <c r="H44">
        <v>985</v>
      </c>
      <c r="I44">
        <v>955</v>
      </c>
      <c r="J44">
        <v>100000</v>
      </c>
    </row>
    <row r="45" spans="1:10">
      <c r="A45" t="s">
        <v>64</v>
      </c>
      <c r="B45" t="s">
        <v>11</v>
      </c>
      <c r="C45" t="s">
        <v>43</v>
      </c>
      <c r="D45" t="s">
        <v>44</v>
      </c>
      <c r="E45" t="s">
        <v>23</v>
      </c>
      <c r="F45">
        <v>2500</v>
      </c>
      <c r="G45">
        <v>2546</v>
      </c>
      <c r="H45">
        <v>2467</v>
      </c>
      <c r="I45">
        <v>2461</v>
      </c>
      <c r="J45">
        <v>250000</v>
      </c>
    </row>
    <row r="46" spans="1:10">
      <c r="A46" t="s">
        <v>65</v>
      </c>
      <c r="B46" t="s">
        <v>11</v>
      </c>
      <c r="C46" t="s">
        <v>12</v>
      </c>
      <c r="D46" t="s">
        <v>13</v>
      </c>
      <c r="F46">
        <v>1000</v>
      </c>
      <c r="G46">
        <v>1030</v>
      </c>
      <c r="H46">
        <v>935</v>
      </c>
      <c r="I46">
        <v>960</v>
      </c>
    </row>
    <row r="47" spans="1:10">
      <c r="A47" t="s">
        <v>66</v>
      </c>
      <c r="B47" t="s">
        <v>21</v>
      </c>
      <c r="C47" t="s">
        <v>26</v>
      </c>
      <c r="D47" t="s">
        <v>27</v>
      </c>
      <c r="J47" t="s">
        <v>19</v>
      </c>
    </row>
    <row r="48" spans="1:10">
      <c r="A48" t="s">
        <v>66</v>
      </c>
      <c r="B48" t="s">
        <v>11</v>
      </c>
      <c r="C48" t="s">
        <v>26</v>
      </c>
      <c r="D48" t="s">
        <v>27</v>
      </c>
      <c r="E48" t="s">
        <v>28</v>
      </c>
      <c r="F48">
        <v>1000</v>
      </c>
      <c r="G48">
        <v>1087</v>
      </c>
      <c r="H48">
        <v>947</v>
      </c>
      <c r="I48">
        <v>1031</v>
      </c>
      <c r="J48">
        <v>250000</v>
      </c>
    </row>
    <row r="49" spans="1:10">
      <c r="A49" t="s">
        <v>67</v>
      </c>
      <c r="B49" t="s">
        <v>21</v>
      </c>
      <c r="C49" t="s">
        <v>43</v>
      </c>
      <c r="D49" t="s">
        <v>44</v>
      </c>
      <c r="J49">
        <v>250000</v>
      </c>
    </row>
    <row r="50" spans="1:10">
      <c r="A50" t="s">
        <v>68</v>
      </c>
      <c r="B50" t="s">
        <v>15</v>
      </c>
      <c r="C50" t="s">
        <v>43</v>
      </c>
      <c r="D50" t="s">
        <v>44</v>
      </c>
      <c r="E50" t="s">
        <v>23</v>
      </c>
      <c r="J50" t="s">
        <v>19</v>
      </c>
    </row>
    <row r="51" spans="1:10">
      <c r="A51" t="s">
        <v>68</v>
      </c>
      <c r="B51" t="s">
        <v>11</v>
      </c>
      <c r="C51" t="s">
        <v>26</v>
      </c>
      <c r="D51" t="s">
        <v>27</v>
      </c>
      <c r="E51" t="s">
        <v>28</v>
      </c>
      <c r="F51">
        <v>3500</v>
      </c>
      <c r="G51">
        <v>3511</v>
      </c>
      <c r="H51">
        <v>3428</v>
      </c>
      <c r="I51">
        <v>3483</v>
      </c>
      <c r="J51">
        <v>250000</v>
      </c>
    </row>
    <row r="52" spans="1:10">
      <c r="A52" t="s">
        <v>69</v>
      </c>
      <c r="C52" t="s">
        <v>43</v>
      </c>
      <c r="D52" t="s">
        <v>44</v>
      </c>
      <c r="J52">
        <v>100000</v>
      </c>
    </row>
    <row r="53" spans="1:10">
      <c r="A53" t="s">
        <v>70</v>
      </c>
      <c r="B53" t="s">
        <v>21</v>
      </c>
      <c r="C53" t="s">
        <v>16</v>
      </c>
      <c r="D53" t="s">
        <v>17</v>
      </c>
      <c r="E53" t="s">
        <v>30</v>
      </c>
      <c r="F53">
        <v>2500</v>
      </c>
      <c r="G53">
        <v>2523</v>
      </c>
      <c r="H53">
        <v>2489</v>
      </c>
      <c r="I53">
        <v>2494</v>
      </c>
      <c r="J53" t="s">
        <v>19</v>
      </c>
    </row>
    <row r="54" spans="1:10">
      <c r="A54" t="s">
        <v>70</v>
      </c>
      <c r="B54" t="s">
        <v>21</v>
      </c>
      <c r="C54" t="s">
        <v>12</v>
      </c>
      <c r="D54" t="s">
        <v>13</v>
      </c>
      <c r="E54" t="s">
        <v>37</v>
      </c>
      <c r="J54">
        <v>100000</v>
      </c>
    </row>
    <row r="55" spans="1:10">
      <c r="A55" t="s">
        <v>71</v>
      </c>
      <c r="B55" t="s">
        <v>15</v>
      </c>
      <c r="C55" t="s">
        <v>12</v>
      </c>
      <c r="D55" t="s">
        <v>13</v>
      </c>
      <c r="E55" t="s">
        <v>37</v>
      </c>
      <c r="F55">
        <v>2500</v>
      </c>
      <c r="G55">
        <v>2552</v>
      </c>
      <c r="H55">
        <v>2484</v>
      </c>
      <c r="I55">
        <v>2479</v>
      </c>
      <c r="J55">
        <v>250000</v>
      </c>
    </row>
    <row r="56" spans="1:10">
      <c r="A56" t="s">
        <v>71</v>
      </c>
      <c r="C56" t="s">
        <v>12</v>
      </c>
      <c r="D56" t="s">
        <v>13</v>
      </c>
      <c r="E56" t="s">
        <v>39</v>
      </c>
    </row>
    <row r="57" spans="1:10">
      <c r="A57" t="s">
        <v>72</v>
      </c>
      <c r="C57" t="s">
        <v>12</v>
      </c>
      <c r="D57" t="s">
        <v>13</v>
      </c>
      <c r="E57" t="s">
        <v>37</v>
      </c>
      <c r="F57">
        <v>1000</v>
      </c>
      <c r="G57">
        <v>1057</v>
      </c>
      <c r="H57">
        <v>948</v>
      </c>
      <c r="I57">
        <v>1010</v>
      </c>
      <c r="J57">
        <v>100000</v>
      </c>
    </row>
    <row r="58" spans="1:10">
      <c r="A58" t="s">
        <v>73</v>
      </c>
      <c r="C58" t="s">
        <v>12</v>
      </c>
      <c r="D58" t="s">
        <v>13</v>
      </c>
      <c r="E58" t="s">
        <v>37</v>
      </c>
      <c r="F58">
        <v>2500</v>
      </c>
      <c r="G58">
        <v>2580</v>
      </c>
      <c r="H58">
        <v>2446</v>
      </c>
      <c r="I58">
        <v>2531</v>
      </c>
      <c r="J58">
        <v>250000</v>
      </c>
    </row>
    <row r="59" spans="1:10">
      <c r="A59" t="s">
        <v>73</v>
      </c>
      <c r="B59" t="s">
        <v>11</v>
      </c>
      <c r="C59" t="s">
        <v>12</v>
      </c>
      <c r="D59" t="s">
        <v>13</v>
      </c>
      <c r="E59" t="s">
        <v>37</v>
      </c>
      <c r="F59">
        <v>1000</v>
      </c>
      <c r="G59">
        <v>1028</v>
      </c>
      <c r="H59">
        <v>921</v>
      </c>
      <c r="I59">
        <v>968</v>
      </c>
      <c r="J59" t="s">
        <v>19</v>
      </c>
    </row>
    <row r="60" spans="1:10">
      <c r="A60" t="s">
        <v>74</v>
      </c>
      <c r="B60" t="s">
        <v>11</v>
      </c>
      <c r="C60" t="s">
        <v>43</v>
      </c>
      <c r="D60" t="s">
        <v>44</v>
      </c>
      <c r="F60">
        <v>3500</v>
      </c>
      <c r="G60">
        <v>3541</v>
      </c>
      <c r="H60">
        <v>3480</v>
      </c>
      <c r="I60">
        <v>3550</v>
      </c>
      <c r="J60">
        <v>250000</v>
      </c>
    </row>
    <row r="61" spans="1:10">
      <c r="A61" t="s">
        <v>75</v>
      </c>
      <c r="B61" t="s">
        <v>15</v>
      </c>
      <c r="C61" t="s">
        <v>16</v>
      </c>
      <c r="D61" t="s">
        <v>17</v>
      </c>
      <c r="E61" t="s">
        <v>30</v>
      </c>
      <c r="F61">
        <v>2500</v>
      </c>
      <c r="G61">
        <v>2574</v>
      </c>
      <c r="H61">
        <v>2473</v>
      </c>
      <c r="I61">
        <v>2536</v>
      </c>
    </row>
    <row r="62" spans="1:10">
      <c r="A62" t="s">
        <v>76</v>
      </c>
      <c r="B62" t="s">
        <v>21</v>
      </c>
      <c r="C62" t="s">
        <v>22</v>
      </c>
      <c r="D62" t="s">
        <v>22</v>
      </c>
      <c r="F62">
        <v>1000</v>
      </c>
      <c r="G62">
        <v>1035</v>
      </c>
      <c r="H62">
        <v>930</v>
      </c>
      <c r="I62">
        <v>1016</v>
      </c>
    </row>
    <row r="63" spans="1:10">
      <c r="A63" t="s">
        <v>77</v>
      </c>
      <c r="B63" t="s">
        <v>21</v>
      </c>
      <c r="C63" t="s">
        <v>12</v>
      </c>
      <c r="D63" t="s">
        <v>13</v>
      </c>
      <c r="E63" t="s">
        <v>39</v>
      </c>
      <c r="F63">
        <v>3500</v>
      </c>
      <c r="G63">
        <v>3593</v>
      </c>
      <c r="H63">
        <v>3457</v>
      </c>
      <c r="I63">
        <v>3538</v>
      </c>
      <c r="J63">
        <v>250000</v>
      </c>
    </row>
    <row r="64" spans="1:10">
      <c r="A64" t="s">
        <v>77</v>
      </c>
      <c r="B64" t="s">
        <v>11</v>
      </c>
      <c r="C64" t="s">
        <v>16</v>
      </c>
      <c r="D64" t="s">
        <v>17</v>
      </c>
      <c r="E64" t="s">
        <v>18</v>
      </c>
      <c r="F64">
        <v>2500</v>
      </c>
      <c r="G64">
        <v>2568</v>
      </c>
      <c r="H64">
        <v>2453</v>
      </c>
      <c r="I64">
        <v>2454</v>
      </c>
      <c r="J64">
        <v>250000</v>
      </c>
    </row>
    <row r="65" spans="1:10">
      <c r="A65" t="s">
        <v>78</v>
      </c>
      <c r="B65" t="s">
        <v>15</v>
      </c>
      <c r="C65" t="s">
        <v>26</v>
      </c>
      <c r="D65" t="s">
        <v>27</v>
      </c>
      <c r="E65" t="s">
        <v>51</v>
      </c>
      <c r="J65" t="s">
        <v>19</v>
      </c>
    </row>
    <row r="66" spans="1:10">
      <c r="A66" t="s">
        <v>79</v>
      </c>
      <c r="C66" t="s">
        <v>16</v>
      </c>
      <c r="D66" t="s">
        <v>17</v>
      </c>
      <c r="F66">
        <v>1000</v>
      </c>
      <c r="G66">
        <v>1037</v>
      </c>
      <c r="H66">
        <v>974</v>
      </c>
      <c r="I66">
        <v>1005</v>
      </c>
      <c r="J66">
        <v>250000</v>
      </c>
    </row>
    <row r="67" spans="1:10">
      <c r="A67" t="s">
        <v>80</v>
      </c>
      <c r="B67" t="s">
        <v>21</v>
      </c>
      <c r="C67" t="s">
        <v>26</v>
      </c>
      <c r="D67" t="s">
        <v>27</v>
      </c>
      <c r="F67">
        <v>3500</v>
      </c>
      <c r="G67">
        <v>3592</v>
      </c>
      <c r="H67">
        <v>3488</v>
      </c>
      <c r="I67">
        <v>3525</v>
      </c>
    </row>
    <row r="68" spans="1:10">
      <c r="A68" t="s">
        <v>81</v>
      </c>
      <c r="C68" t="s">
        <v>16</v>
      </c>
      <c r="D68" t="s">
        <v>17</v>
      </c>
      <c r="E68" t="s">
        <v>30</v>
      </c>
      <c r="F68">
        <v>2500</v>
      </c>
      <c r="G68">
        <v>2600</v>
      </c>
      <c r="H68">
        <v>2436</v>
      </c>
      <c r="I68">
        <v>2519</v>
      </c>
      <c r="J68">
        <v>250000</v>
      </c>
    </row>
    <row r="69" spans="1:10">
      <c r="A69" t="s">
        <v>82</v>
      </c>
      <c r="B69" t="s">
        <v>11</v>
      </c>
      <c r="C69" t="s">
        <v>26</v>
      </c>
      <c r="D69" t="s">
        <v>27</v>
      </c>
      <c r="F69">
        <v>3500</v>
      </c>
      <c r="G69">
        <v>3542</v>
      </c>
      <c r="H69">
        <v>3426</v>
      </c>
      <c r="I69">
        <v>3513</v>
      </c>
      <c r="J69" t="s">
        <v>19</v>
      </c>
    </row>
    <row r="70" spans="1:10">
      <c r="A70" t="s">
        <v>83</v>
      </c>
      <c r="B70" t="s">
        <v>15</v>
      </c>
      <c r="C70" t="s">
        <v>12</v>
      </c>
      <c r="D70" t="s">
        <v>13</v>
      </c>
      <c r="E70" t="s">
        <v>39</v>
      </c>
      <c r="J70">
        <v>250000</v>
      </c>
    </row>
    <row r="71" spans="1:10">
      <c r="A71" t="s">
        <v>84</v>
      </c>
      <c r="B71" t="s">
        <v>15</v>
      </c>
      <c r="C71" t="s">
        <v>16</v>
      </c>
      <c r="D71" t="s">
        <v>17</v>
      </c>
      <c r="E71" t="s">
        <v>30</v>
      </c>
      <c r="J71">
        <v>250000</v>
      </c>
    </row>
    <row r="72" spans="1:10">
      <c r="A72" t="s">
        <v>85</v>
      </c>
      <c r="B72" t="s">
        <v>11</v>
      </c>
      <c r="C72" t="s">
        <v>43</v>
      </c>
      <c r="D72" t="s">
        <v>44</v>
      </c>
      <c r="E72" t="s">
        <v>23</v>
      </c>
      <c r="J72">
        <v>100000</v>
      </c>
    </row>
    <row r="73" spans="1:10">
      <c r="A73" t="s">
        <v>86</v>
      </c>
      <c r="B73" t="s">
        <v>15</v>
      </c>
      <c r="C73" t="s">
        <v>16</v>
      </c>
      <c r="D73" t="s">
        <v>17</v>
      </c>
      <c r="E73" t="s">
        <v>18</v>
      </c>
      <c r="J73" t="s">
        <v>19</v>
      </c>
    </row>
    <row r="74" spans="1:10">
      <c r="A74" t="s">
        <v>86</v>
      </c>
      <c r="C74" t="s">
        <v>26</v>
      </c>
      <c r="D74" t="s">
        <v>27</v>
      </c>
      <c r="E74" t="s">
        <v>28</v>
      </c>
      <c r="J74" t="s">
        <v>19</v>
      </c>
    </row>
    <row r="75" spans="1:10">
      <c r="A75" t="s">
        <v>87</v>
      </c>
      <c r="B75" t="s">
        <v>11</v>
      </c>
      <c r="C75" t="s">
        <v>26</v>
      </c>
      <c r="D75" t="s">
        <v>27</v>
      </c>
      <c r="E75" t="s">
        <v>28</v>
      </c>
      <c r="F75">
        <v>3500</v>
      </c>
      <c r="G75">
        <v>3598</v>
      </c>
      <c r="H75">
        <v>3427</v>
      </c>
      <c r="I75">
        <v>3482</v>
      </c>
    </row>
    <row r="76" spans="1:10">
      <c r="A76" t="s">
        <v>88</v>
      </c>
      <c r="B76" t="s">
        <v>21</v>
      </c>
      <c r="C76" t="s">
        <v>16</v>
      </c>
      <c r="D76" t="s">
        <v>17</v>
      </c>
      <c r="E76" t="s">
        <v>30</v>
      </c>
      <c r="J76">
        <v>250000</v>
      </c>
    </row>
    <row r="77" spans="1:10">
      <c r="A77" t="s">
        <v>89</v>
      </c>
      <c r="B77" t="s">
        <v>21</v>
      </c>
      <c r="C77" t="s">
        <v>26</v>
      </c>
      <c r="D77" t="s">
        <v>27</v>
      </c>
      <c r="E77" t="s">
        <v>28</v>
      </c>
      <c r="F77">
        <v>3500</v>
      </c>
      <c r="G77">
        <v>3577</v>
      </c>
      <c r="H77">
        <v>3433</v>
      </c>
      <c r="I77">
        <v>3536</v>
      </c>
      <c r="J77">
        <v>250000</v>
      </c>
    </row>
    <row r="78" spans="1:10">
      <c r="A78" t="s">
        <v>90</v>
      </c>
      <c r="B78" t="s">
        <v>11</v>
      </c>
      <c r="C78" t="s">
        <v>43</v>
      </c>
      <c r="D78" t="s">
        <v>44</v>
      </c>
      <c r="E78" t="s">
        <v>23</v>
      </c>
      <c r="F78">
        <v>1000</v>
      </c>
      <c r="G78">
        <v>1092</v>
      </c>
      <c r="H78">
        <v>932</v>
      </c>
      <c r="I78">
        <v>1042</v>
      </c>
    </row>
    <row r="79" spans="1:10">
      <c r="A79" t="s">
        <v>90</v>
      </c>
      <c r="B79" t="s">
        <v>11</v>
      </c>
      <c r="C79" t="s">
        <v>43</v>
      </c>
      <c r="D79" t="s">
        <v>44</v>
      </c>
      <c r="E79" t="s">
        <v>23</v>
      </c>
      <c r="F79">
        <v>2500</v>
      </c>
      <c r="G79">
        <v>2522</v>
      </c>
      <c r="H79">
        <v>2454</v>
      </c>
      <c r="I79">
        <v>2470</v>
      </c>
      <c r="J79">
        <v>100000</v>
      </c>
    </row>
    <row r="80" spans="1:10">
      <c r="A80" t="s">
        <v>91</v>
      </c>
      <c r="C80" t="s">
        <v>12</v>
      </c>
      <c r="D80" t="s">
        <v>13</v>
      </c>
      <c r="F80">
        <v>2500</v>
      </c>
      <c r="G80">
        <v>2522</v>
      </c>
      <c r="H80">
        <v>2434</v>
      </c>
      <c r="I80">
        <v>2504</v>
      </c>
    </row>
    <row r="81" spans="1:10">
      <c r="A81" t="s">
        <v>92</v>
      </c>
      <c r="B81" t="s">
        <v>15</v>
      </c>
      <c r="C81" t="s">
        <v>22</v>
      </c>
      <c r="D81" t="s">
        <v>22</v>
      </c>
    </row>
    <row r="82" spans="1:10">
      <c r="A82" t="s">
        <v>93</v>
      </c>
      <c r="C82" t="s">
        <v>22</v>
      </c>
      <c r="D82" t="s">
        <v>22</v>
      </c>
      <c r="F82">
        <v>2500</v>
      </c>
      <c r="G82">
        <v>2573</v>
      </c>
      <c r="H82">
        <v>2424</v>
      </c>
      <c r="I82">
        <v>2484</v>
      </c>
      <c r="J82" t="s">
        <v>19</v>
      </c>
    </row>
    <row r="83" spans="1:10">
      <c r="A83" t="s">
        <v>93</v>
      </c>
      <c r="B83" t="s">
        <v>11</v>
      </c>
      <c r="C83" t="s">
        <v>16</v>
      </c>
      <c r="D83" t="s">
        <v>17</v>
      </c>
      <c r="E83" t="s">
        <v>30</v>
      </c>
      <c r="F83">
        <v>2500</v>
      </c>
      <c r="G83">
        <v>2556</v>
      </c>
      <c r="H83">
        <v>2453</v>
      </c>
      <c r="I83">
        <v>2518</v>
      </c>
      <c r="J83">
        <v>100000</v>
      </c>
    </row>
    <row r="84" spans="1:10">
      <c r="A84" t="s">
        <v>94</v>
      </c>
      <c r="B84" t="s">
        <v>15</v>
      </c>
      <c r="C84" t="s">
        <v>16</v>
      </c>
      <c r="D84" t="s">
        <v>17</v>
      </c>
      <c r="E84" t="s">
        <v>30</v>
      </c>
      <c r="F84">
        <v>3500</v>
      </c>
      <c r="G84">
        <v>3548</v>
      </c>
      <c r="H84">
        <v>3426</v>
      </c>
      <c r="I84">
        <v>3520</v>
      </c>
      <c r="J84">
        <v>250000</v>
      </c>
    </row>
    <row r="85" spans="1:10">
      <c r="A85" t="s">
        <v>95</v>
      </c>
      <c r="B85" t="s">
        <v>15</v>
      </c>
      <c r="C85" t="s">
        <v>22</v>
      </c>
      <c r="D85" t="s">
        <v>22</v>
      </c>
      <c r="E85" t="s">
        <v>23</v>
      </c>
      <c r="F85">
        <v>1000</v>
      </c>
      <c r="G85">
        <v>1051</v>
      </c>
      <c r="H85">
        <v>944</v>
      </c>
      <c r="I85">
        <v>951</v>
      </c>
      <c r="J85">
        <v>250000</v>
      </c>
    </row>
    <row r="86" spans="1:10">
      <c r="A86" t="s">
        <v>96</v>
      </c>
      <c r="B86" t="s">
        <v>11</v>
      </c>
      <c r="C86" t="s">
        <v>26</v>
      </c>
      <c r="D86" t="s">
        <v>27</v>
      </c>
      <c r="E86" t="s">
        <v>51</v>
      </c>
      <c r="F86">
        <v>3500</v>
      </c>
      <c r="G86">
        <v>3564</v>
      </c>
      <c r="H86">
        <v>3435</v>
      </c>
      <c r="I86">
        <v>3535</v>
      </c>
      <c r="J86" t="s">
        <v>19</v>
      </c>
    </row>
    <row r="87" spans="1:10">
      <c r="A87" t="s">
        <v>96</v>
      </c>
      <c r="B87" t="s">
        <v>11</v>
      </c>
      <c r="C87" t="s">
        <v>43</v>
      </c>
      <c r="D87" t="s">
        <v>44</v>
      </c>
      <c r="F87">
        <v>3500</v>
      </c>
      <c r="G87">
        <v>3526</v>
      </c>
      <c r="H87">
        <v>3479</v>
      </c>
      <c r="I87">
        <v>3508</v>
      </c>
      <c r="J87" t="s">
        <v>19</v>
      </c>
    </row>
    <row r="88" spans="1:10">
      <c r="A88" t="s">
        <v>97</v>
      </c>
      <c r="B88" t="s">
        <v>21</v>
      </c>
      <c r="C88" t="s">
        <v>16</v>
      </c>
      <c r="D88" t="s">
        <v>17</v>
      </c>
      <c r="E88" t="s">
        <v>30</v>
      </c>
      <c r="F88">
        <v>3500</v>
      </c>
      <c r="G88">
        <v>3597</v>
      </c>
      <c r="H88">
        <v>3441</v>
      </c>
      <c r="I88">
        <v>3548</v>
      </c>
    </row>
    <row r="89" spans="1:10">
      <c r="A89" t="s">
        <v>97</v>
      </c>
      <c r="B89" t="s">
        <v>21</v>
      </c>
      <c r="C89" t="s">
        <v>12</v>
      </c>
      <c r="D89" t="s">
        <v>13</v>
      </c>
      <c r="E89" t="s">
        <v>37</v>
      </c>
      <c r="F89">
        <v>2500</v>
      </c>
      <c r="G89">
        <v>2566</v>
      </c>
      <c r="H89">
        <v>2473</v>
      </c>
      <c r="I89">
        <v>2499</v>
      </c>
    </row>
    <row r="90" spans="1:10">
      <c r="A90" t="s">
        <v>98</v>
      </c>
      <c r="B90" t="s">
        <v>15</v>
      </c>
      <c r="C90" t="s">
        <v>12</v>
      </c>
      <c r="D90" t="s">
        <v>13</v>
      </c>
      <c r="E90" t="s">
        <v>37</v>
      </c>
      <c r="F90">
        <v>3500</v>
      </c>
      <c r="G90">
        <v>3555</v>
      </c>
      <c r="H90">
        <v>3483</v>
      </c>
      <c r="I90">
        <v>3505</v>
      </c>
      <c r="J90">
        <v>100000</v>
      </c>
    </row>
    <row r="91" spans="1:10">
      <c r="A91" t="s">
        <v>99</v>
      </c>
      <c r="B91" t="s">
        <v>21</v>
      </c>
      <c r="C91" t="s">
        <v>22</v>
      </c>
      <c r="D91" t="s">
        <v>22</v>
      </c>
      <c r="E91" t="s">
        <v>23</v>
      </c>
      <c r="J91">
        <v>250000</v>
      </c>
    </row>
    <row r="92" spans="1:10">
      <c r="A92" t="s">
        <v>100</v>
      </c>
      <c r="B92" t="s">
        <v>15</v>
      </c>
      <c r="C92" t="s">
        <v>26</v>
      </c>
      <c r="D92" t="s">
        <v>27</v>
      </c>
      <c r="E92" t="s">
        <v>51</v>
      </c>
      <c r="F92">
        <v>3500</v>
      </c>
      <c r="G92">
        <v>3549</v>
      </c>
      <c r="H92">
        <v>3447</v>
      </c>
      <c r="I92">
        <v>3530</v>
      </c>
      <c r="J92" t="s">
        <v>19</v>
      </c>
    </row>
    <row r="93" spans="1:10">
      <c r="A93" t="s">
        <v>101</v>
      </c>
      <c r="B93" t="s">
        <v>11</v>
      </c>
      <c r="C93" t="s">
        <v>12</v>
      </c>
      <c r="D93" t="s">
        <v>13</v>
      </c>
      <c r="E93" t="s">
        <v>39</v>
      </c>
      <c r="F93">
        <v>2500</v>
      </c>
      <c r="G93">
        <v>2510</v>
      </c>
      <c r="H93">
        <v>2472</v>
      </c>
      <c r="I93">
        <v>2492</v>
      </c>
      <c r="J93" t="s">
        <v>19</v>
      </c>
    </row>
    <row r="94" spans="1:10">
      <c r="A94" t="s">
        <v>102</v>
      </c>
      <c r="C94" t="s">
        <v>43</v>
      </c>
      <c r="D94" t="s">
        <v>44</v>
      </c>
      <c r="E94" t="s">
        <v>23</v>
      </c>
      <c r="F94">
        <v>1000</v>
      </c>
      <c r="G94">
        <v>1035</v>
      </c>
      <c r="H94">
        <v>925</v>
      </c>
      <c r="I94">
        <v>1020</v>
      </c>
      <c r="J94">
        <v>250000</v>
      </c>
    </row>
    <row r="95" spans="1:10">
      <c r="A95" t="s">
        <v>102</v>
      </c>
      <c r="B95" t="s">
        <v>15</v>
      </c>
      <c r="C95" t="s">
        <v>22</v>
      </c>
      <c r="D95" t="s">
        <v>22</v>
      </c>
      <c r="J95" t="s">
        <v>19</v>
      </c>
    </row>
    <row r="96" spans="1:10">
      <c r="A96" t="s">
        <v>103</v>
      </c>
      <c r="B96" t="s">
        <v>21</v>
      </c>
      <c r="C96" t="s">
        <v>12</v>
      </c>
      <c r="D96" t="s">
        <v>13</v>
      </c>
      <c r="E96" t="s">
        <v>39</v>
      </c>
    </row>
    <row r="97" spans="1:10">
      <c r="A97" t="s">
        <v>103</v>
      </c>
      <c r="B97" t="s">
        <v>21</v>
      </c>
      <c r="C97" t="s">
        <v>12</v>
      </c>
      <c r="D97" t="s">
        <v>13</v>
      </c>
      <c r="E97" t="s">
        <v>39</v>
      </c>
      <c r="F97">
        <v>3500</v>
      </c>
      <c r="G97">
        <v>3523</v>
      </c>
      <c r="H97">
        <v>3487</v>
      </c>
      <c r="I97">
        <v>3462</v>
      </c>
      <c r="J97" t="s">
        <v>19</v>
      </c>
    </row>
    <row r="98" spans="1:10">
      <c r="A98" t="s">
        <v>104</v>
      </c>
      <c r="C98" t="s">
        <v>12</v>
      </c>
      <c r="D98" t="s">
        <v>13</v>
      </c>
      <c r="E98" t="s">
        <v>37</v>
      </c>
      <c r="F98">
        <v>1000</v>
      </c>
      <c r="G98">
        <v>1091</v>
      </c>
      <c r="H98">
        <v>934</v>
      </c>
      <c r="I98">
        <v>1010</v>
      </c>
      <c r="J98">
        <v>250000</v>
      </c>
    </row>
    <row r="99" spans="1:10">
      <c r="A99" t="s">
        <v>105</v>
      </c>
      <c r="B99" t="s">
        <v>11</v>
      </c>
      <c r="C99" t="s">
        <v>43</v>
      </c>
      <c r="D99" t="s">
        <v>44</v>
      </c>
      <c r="E99" t="s">
        <v>23</v>
      </c>
      <c r="F99">
        <v>3500</v>
      </c>
      <c r="G99">
        <v>3555</v>
      </c>
      <c r="H99">
        <v>3453</v>
      </c>
      <c r="I99">
        <v>3481</v>
      </c>
      <c r="J99" t="s">
        <v>19</v>
      </c>
    </row>
    <row r="100" spans="1:10">
      <c r="A100" t="s">
        <v>106</v>
      </c>
      <c r="B100" t="s">
        <v>11</v>
      </c>
      <c r="C100" t="s">
        <v>26</v>
      </c>
      <c r="D100" t="s">
        <v>27</v>
      </c>
      <c r="E100" t="s">
        <v>28</v>
      </c>
      <c r="J100" t="s">
        <v>19</v>
      </c>
    </row>
    <row r="101" spans="1:10">
      <c r="A101" t="s">
        <v>107</v>
      </c>
      <c r="B101" t="s">
        <v>15</v>
      </c>
      <c r="C101" t="s">
        <v>12</v>
      </c>
      <c r="D101" t="s">
        <v>13</v>
      </c>
      <c r="J101" t="s">
        <v>19</v>
      </c>
    </row>
    <row r="102" spans="1:10">
      <c r="A102" t="s">
        <v>107</v>
      </c>
      <c r="C102" t="s">
        <v>12</v>
      </c>
      <c r="D102" t="s">
        <v>13</v>
      </c>
      <c r="E102" t="s">
        <v>39</v>
      </c>
      <c r="F102">
        <v>3500</v>
      </c>
      <c r="G102">
        <v>3523</v>
      </c>
      <c r="H102">
        <v>3459</v>
      </c>
      <c r="I102">
        <v>3482</v>
      </c>
      <c r="J102">
        <v>100000</v>
      </c>
    </row>
    <row r="103" spans="1:10">
      <c r="A103" t="s">
        <v>108</v>
      </c>
      <c r="B103" t="s">
        <v>15</v>
      </c>
      <c r="C103" t="s">
        <v>43</v>
      </c>
      <c r="D103" t="s">
        <v>44</v>
      </c>
      <c r="E103" t="s">
        <v>23</v>
      </c>
      <c r="F103">
        <v>1000</v>
      </c>
      <c r="G103">
        <v>1048</v>
      </c>
      <c r="H103">
        <v>961</v>
      </c>
      <c r="I103">
        <v>1040</v>
      </c>
    </row>
    <row r="104" spans="1:10">
      <c r="A104" t="s">
        <v>109</v>
      </c>
      <c r="B104" t="s">
        <v>15</v>
      </c>
      <c r="C104" t="s">
        <v>26</v>
      </c>
      <c r="D104" t="s">
        <v>27</v>
      </c>
      <c r="E104" t="s">
        <v>51</v>
      </c>
      <c r="J104">
        <v>250000</v>
      </c>
    </row>
    <row r="105" spans="1:10">
      <c r="A105" t="s">
        <v>109</v>
      </c>
      <c r="C105" t="s">
        <v>43</v>
      </c>
      <c r="D105" t="s">
        <v>44</v>
      </c>
      <c r="E105" t="s">
        <v>23</v>
      </c>
      <c r="J105">
        <v>250000</v>
      </c>
    </row>
    <row r="106" spans="1:10">
      <c r="A106" t="s">
        <v>110</v>
      </c>
      <c r="B106" t="s">
        <v>15</v>
      </c>
      <c r="C106" t="s">
        <v>26</v>
      </c>
      <c r="D106" t="s">
        <v>27</v>
      </c>
      <c r="E106" t="s">
        <v>28</v>
      </c>
      <c r="F106">
        <v>2500</v>
      </c>
      <c r="G106">
        <v>2555</v>
      </c>
      <c r="H106">
        <v>2424</v>
      </c>
      <c r="I106">
        <v>2527</v>
      </c>
    </row>
    <row r="107" spans="1:10">
      <c r="A107" t="s">
        <v>110</v>
      </c>
      <c r="C107" t="s">
        <v>16</v>
      </c>
      <c r="D107" t="s">
        <v>17</v>
      </c>
      <c r="E107" t="s">
        <v>18</v>
      </c>
      <c r="J107" t="s">
        <v>19</v>
      </c>
    </row>
    <row r="108" spans="1:10">
      <c r="A108" t="s">
        <v>111</v>
      </c>
      <c r="B108" t="s">
        <v>11</v>
      </c>
      <c r="C108" t="s">
        <v>22</v>
      </c>
      <c r="D108" t="s">
        <v>22</v>
      </c>
      <c r="E108" t="s">
        <v>23</v>
      </c>
      <c r="F108">
        <v>2500</v>
      </c>
      <c r="G108">
        <v>2566</v>
      </c>
      <c r="H108">
        <v>2435</v>
      </c>
      <c r="I108">
        <v>2498</v>
      </c>
    </row>
    <row r="109" spans="1:10">
      <c r="A109" t="s">
        <v>112</v>
      </c>
      <c r="B109" t="s">
        <v>21</v>
      </c>
      <c r="C109" t="s">
        <v>26</v>
      </c>
      <c r="D109" t="s">
        <v>27</v>
      </c>
      <c r="E109" t="s">
        <v>51</v>
      </c>
      <c r="F109">
        <v>2500</v>
      </c>
      <c r="G109">
        <v>2585</v>
      </c>
      <c r="H109">
        <v>2490</v>
      </c>
      <c r="I109">
        <v>2481</v>
      </c>
      <c r="J109">
        <v>100000</v>
      </c>
    </row>
    <row r="110" spans="1:10">
      <c r="A110" t="s">
        <v>113</v>
      </c>
      <c r="B110" t="s">
        <v>15</v>
      </c>
      <c r="C110" t="s">
        <v>22</v>
      </c>
      <c r="D110" t="s">
        <v>22</v>
      </c>
      <c r="J110">
        <v>250000</v>
      </c>
    </row>
    <row r="111" spans="1:10">
      <c r="A111" t="s">
        <v>114</v>
      </c>
      <c r="C111" t="s">
        <v>22</v>
      </c>
      <c r="D111" t="s">
        <v>22</v>
      </c>
      <c r="E111" t="s">
        <v>23</v>
      </c>
      <c r="J111" t="s">
        <v>19</v>
      </c>
    </row>
    <row r="112" spans="1:10">
      <c r="A112" t="s">
        <v>115</v>
      </c>
      <c r="B112" t="s">
        <v>11</v>
      </c>
      <c r="C112" t="s">
        <v>22</v>
      </c>
      <c r="D112" t="s">
        <v>22</v>
      </c>
      <c r="E112" t="s">
        <v>23</v>
      </c>
    </row>
    <row r="113" spans="1:10">
      <c r="A113" t="s">
        <v>116</v>
      </c>
      <c r="B113" t="s">
        <v>21</v>
      </c>
      <c r="C113" t="s">
        <v>16</v>
      </c>
      <c r="D113" t="s">
        <v>17</v>
      </c>
      <c r="E113" t="s">
        <v>18</v>
      </c>
    </row>
    <row r="114" spans="1:10">
      <c r="A114" t="s">
        <v>116</v>
      </c>
      <c r="B114" t="s">
        <v>21</v>
      </c>
      <c r="C114" t="s">
        <v>43</v>
      </c>
      <c r="D114" t="s">
        <v>44</v>
      </c>
      <c r="E114" t="s">
        <v>23</v>
      </c>
      <c r="F114">
        <v>2500</v>
      </c>
      <c r="G114">
        <v>2556</v>
      </c>
      <c r="H114">
        <v>2464</v>
      </c>
      <c r="I114">
        <v>2485</v>
      </c>
      <c r="J114">
        <v>100000</v>
      </c>
    </row>
    <row r="115" spans="1:10">
      <c r="A115" t="s">
        <v>117</v>
      </c>
      <c r="C115" t="s">
        <v>16</v>
      </c>
      <c r="D115" t="s">
        <v>17</v>
      </c>
      <c r="E115" t="s">
        <v>18</v>
      </c>
      <c r="F115">
        <v>3500</v>
      </c>
      <c r="G115">
        <v>3562</v>
      </c>
      <c r="H115">
        <v>3432</v>
      </c>
      <c r="I115">
        <v>3454</v>
      </c>
      <c r="J115">
        <v>250000</v>
      </c>
    </row>
    <row r="116" spans="1:10">
      <c r="A116" t="s">
        <v>118</v>
      </c>
      <c r="B116" t="s">
        <v>11</v>
      </c>
      <c r="C116" t="s">
        <v>43</v>
      </c>
      <c r="D116" t="s">
        <v>44</v>
      </c>
      <c r="E116" t="s">
        <v>23</v>
      </c>
      <c r="J116">
        <v>100000</v>
      </c>
    </row>
    <row r="117" spans="1:10">
      <c r="A117" t="s">
        <v>118</v>
      </c>
      <c r="B117" t="s">
        <v>11</v>
      </c>
      <c r="C117" t="s">
        <v>43</v>
      </c>
      <c r="D117" t="s">
        <v>44</v>
      </c>
      <c r="E117" t="s">
        <v>23</v>
      </c>
      <c r="F117">
        <v>1000</v>
      </c>
      <c r="G117">
        <v>1036</v>
      </c>
      <c r="H117">
        <v>984</v>
      </c>
      <c r="I117">
        <v>990</v>
      </c>
    </row>
    <row r="118" spans="1:10">
      <c r="A118" t="s">
        <v>119</v>
      </c>
      <c r="B118" t="s">
        <v>11</v>
      </c>
      <c r="C118" t="s">
        <v>16</v>
      </c>
      <c r="D118" t="s">
        <v>17</v>
      </c>
      <c r="E118" t="s">
        <v>30</v>
      </c>
      <c r="F118">
        <v>3500</v>
      </c>
      <c r="G118">
        <v>3516</v>
      </c>
      <c r="H118">
        <v>3422</v>
      </c>
      <c r="I118">
        <v>3457</v>
      </c>
    </row>
    <row r="119" spans="1:10">
      <c r="A119" t="s">
        <v>120</v>
      </c>
      <c r="B119" t="s">
        <v>21</v>
      </c>
      <c r="C119" t="s">
        <v>16</v>
      </c>
      <c r="D119" t="s">
        <v>17</v>
      </c>
      <c r="E119" t="s">
        <v>18</v>
      </c>
      <c r="F119">
        <v>2500</v>
      </c>
      <c r="G119">
        <v>2587</v>
      </c>
      <c r="H119">
        <v>2471</v>
      </c>
      <c r="I119">
        <v>2499</v>
      </c>
      <c r="J119">
        <v>100000</v>
      </c>
    </row>
    <row r="120" spans="1:10">
      <c r="A120" t="s">
        <v>121</v>
      </c>
      <c r="B120" t="s">
        <v>21</v>
      </c>
      <c r="C120" t="s">
        <v>22</v>
      </c>
      <c r="D120" t="s">
        <v>22</v>
      </c>
      <c r="E120" t="s">
        <v>23</v>
      </c>
      <c r="F120">
        <v>3500</v>
      </c>
      <c r="G120">
        <v>3571</v>
      </c>
      <c r="H120">
        <v>3467</v>
      </c>
      <c r="I120">
        <v>3486</v>
      </c>
    </row>
    <row r="121" spans="1:10">
      <c r="A121" t="s">
        <v>121</v>
      </c>
      <c r="B121" t="s">
        <v>21</v>
      </c>
      <c r="C121" t="s">
        <v>43</v>
      </c>
      <c r="D121" t="s">
        <v>44</v>
      </c>
      <c r="F121">
        <v>1000</v>
      </c>
      <c r="G121">
        <v>1049</v>
      </c>
      <c r="H121">
        <v>979</v>
      </c>
      <c r="I121">
        <v>1048</v>
      </c>
      <c r="J121" t="s">
        <v>19</v>
      </c>
    </row>
    <row r="122" spans="1:10">
      <c r="A122" t="s">
        <v>122</v>
      </c>
      <c r="B122" t="s">
        <v>21</v>
      </c>
      <c r="C122" t="s">
        <v>43</v>
      </c>
      <c r="D122" t="s">
        <v>44</v>
      </c>
      <c r="F122">
        <v>2500</v>
      </c>
      <c r="G122">
        <v>2566</v>
      </c>
      <c r="H122">
        <v>2485</v>
      </c>
      <c r="I122">
        <v>2469</v>
      </c>
    </row>
    <row r="123" spans="1:10">
      <c r="A123" t="s">
        <v>123</v>
      </c>
      <c r="B123" t="s">
        <v>21</v>
      </c>
      <c r="C123" t="s">
        <v>43</v>
      </c>
      <c r="D123" t="s">
        <v>44</v>
      </c>
      <c r="E123" t="s">
        <v>23</v>
      </c>
      <c r="F123">
        <v>1000</v>
      </c>
      <c r="G123">
        <v>1057</v>
      </c>
      <c r="H123">
        <v>963</v>
      </c>
      <c r="I123">
        <v>1046</v>
      </c>
      <c r="J123">
        <v>100000</v>
      </c>
    </row>
    <row r="124" spans="1:10">
      <c r="A124" t="s">
        <v>123</v>
      </c>
      <c r="B124" t="s">
        <v>21</v>
      </c>
      <c r="C124" t="s">
        <v>12</v>
      </c>
      <c r="D124" t="s">
        <v>13</v>
      </c>
      <c r="F124">
        <v>1000</v>
      </c>
      <c r="G124">
        <v>1086</v>
      </c>
      <c r="H124">
        <v>938</v>
      </c>
      <c r="I124">
        <v>977</v>
      </c>
      <c r="J124">
        <v>100000</v>
      </c>
    </row>
    <row r="125" spans="1:10">
      <c r="A125" t="s">
        <v>124</v>
      </c>
      <c r="C125" t="s">
        <v>43</v>
      </c>
      <c r="D125" t="s">
        <v>44</v>
      </c>
      <c r="F125">
        <v>3500</v>
      </c>
      <c r="G125">
        <v>3536</v>
      </c>
      <c r="H125">
        <v>3482</v>
      </c>
      <c r="I125">
        <v>3458</v>
      </c>
    </row>
    <row r="126" spans="1:10">
      <c r="A126" t="s">
        <v>125</v>
      </c>
      <c r="C126" t="s">
        <v>43</v>
      </c>
      <c r="D126" t="s">
        <v>44</v>
      </c>
      <c r="E126" t="s">
        <v>23</v>
      </c>
      <c r="F126">
        <v>1000</v>
      </c>
      <c r="G126">
        <v>1019</v>
      </c>
      <c r="H126">
        <v>973</v>
      </c>
      <c r="I126">
        <v>951</v>
      </c>
    </row>
    <row r="127" spans="1:10">
      <c r="A127" t="s">
        <v>126</v>
      </c>
      <c r="C127" t="s">
        <v>43</v>
      </c>
      <c r="D127" t="s">
        <v>44</v>
      </c>
      <c r="E127" t="s">
        <v>23</v>
      </c>
      <c r="J127">
        <v>100000</v>
      </c>
    </row>
    <row r="128" spans="1:10">
      <c r="A128" t="s">
        <v>127</v>
      </c>
      <c r="B128" t="s">
        <v>21</v>
      </c>
      <c r="C128" t="s">
        <v>26</v>
      </c>
      <c r="D128" t="s">
        <v>27</v>
      </c>
      <c r="E128" t="s">
        <v>28</v>
      </c>
      <c r="F128">
        <v>3500</v>
      </c>
      <c r="G128">
        <v>3537</v>
      </c>
      <c r="H128">
        <v>3431</v>
      </c>
      <c r="I128">
        <v>3495</v>
      </c>
      <c r="J128">
        <v>250000</v>
      </c>
    </row>
    <row r="129" spans="1:10">
      <c r="A129" t="s">
        <v>127</v>
      </c>
      <c r="B129" t="s">
        <v>11</v>
      </c>
      <c r="C129" t="s">
        <v>16</v>
      </c>
      <c r="D129" t="s">
        <v>17</v>
      </c>
      <c r="F129">
        <v>1000</v>
      </c>
      <c r="G129">
        <v>1057</v>
      </c>
      <c r="H129">
        <v>977</v>
      </c>
      <c r="I129">
        <v>973</v>
      </c>
      <c r="J129">
        <v>250000</v>
      </c>
    </row>
    <row r="130" spans="1:10">
      <c r="A130" t="s">
        <v>128</v>
      </c>
      <c r="B130" t="s">
        <v>11</v>
      </c>
      <c r="C130" t="s">
        <v>16</v>
      </c>
      <c r="D130" t="s">
        <v>17</v>
      </c>
      <c r="E130" t="s">
        <v>18</v>
      </c>
      <c r="F130">
        <v>1000</v>
      </c>
      <c r="G130">
        <v>1020</v>
      </c>
      <c r="H130">
        <v>979</v>
      </c>
      <c r="I130">
        <v>1014</v>
      </c>
    </row>
    <row r="131" spans="1:10">
      <c r="A131" t="s">
        <v>129</v>
      </c>
      <c r="B131" t="s">
        <v>21</v>
      </c>
      <c r="C131" t="s">
        <v>12</v>
      </c>
      <c r="D131" t="s">
        <v>13</v>
      </c>
      <c r="E131" t="s">
        <v>39</v>
      </c>
      <c r="F131">
        <v>3500</v>
      </c>
      <c r="G131">
        <v>3561</v>
      </c>
      <c r="H131">
        <v>3468</v>
      </c>
      <c r="I131">
        <v>3470</v>
      </c>
      <c r="J131">
        <v>250000</v>
      </c>
    </row>
    <row r="132" spans="1:10">
      <c r="A132" t="s">
        <v>130</v>
      </c>
      <c r="B132" t="s">
        <v>21</v>
      </c>
      <c r="C132" t="s">
        <v>26</v>
      </c>
      <c r="D132" t="s">
        <v>27</v>
      </c>
      <c r="E132" t="s">
        <v>51</v>
      </c>
      <c r="F132">
        <v>2500</v>
      </c>
      <c r="G132">
        <v>2599</v>
      </c>
      <c r="H132">
        <v>2484</v>
      </c>
      <c r="I132">
        <v>2454</v>
      </c>
    </row>
    <row r="133" spans="1:10">
      <c r="A133" t="s">
        <v>130</v>
      </c>
      <c r="B133" t="s">
        <v>11</v>
      </c>
      <c r="C133" t="s">
        <v>43</v>
      </c>
      <c r="D133" t="s">
        <v>44</v>
      </c>
      <c r="F133">
        <v>2500</v>
      </c>
      <c r="G133">
        <v>2524</v>
      </c>
      <c r="H133">
        <v>2429</v>
      </c>
      <c r="I133">
        <v>2543</v>
      </c>
      <c r="J133">
        <v>100000</v>
      </c>
    </row>
    <row r="134" spans="1:10">
      <c r="A134" t="s">
        <v>131</v>
      </c>
      <c r="B134" t="s">
        <v>11</v>
      </c>
      <c r="C134" t="s">
        <v>12</v>
      </c>
      <c r="D134" t="s">
        <v>13</v>
      </c>
      <c r="E134" t="s">
        <v>39</v>
      </c>
      <c r="F134">
        <v>2500</v>
      </c>
      <c r="G134">
        <v>2542</v>
      </c>
      <c r="H134">
        <v>2422</v>
      </c>
      <c r="I134">
        <v>2542</v>
      </c>
      <c r="J134">
        <v>100000</v>
      </c>
    </row>
    <row r="135" spans="1:10">
      <c r="A135" t="s">
        <v>131</v>
      </c>
      <c r="C135" t="s">
        <v>12</v>
      </c>
      <c r="D135" t="s">
        <v>13</v>
      </c>
    </row>
    <row r="136" spans="1:10">
      <c r="A136" t="s">
        <v>132</v>
      </c>
      <c r="B136" t="s">
        <v>11</v>
      </c>
      <c r="C136" t="s">
        <v>43</v>
      </c>
      <c r="D136" t="s">
        <v>44</v>
      </c>
      <c r="E136" t="s">
        <v>23</v>
      </c>
      <c r="F136">
        <v>1000</v>
      </c>
      <c r="G136">
        <v>1029</v>
      </c>
      <c r="H136">
        <v>923</v>
      </c>
      <c r="I136">
        <v>1028</v>
      </c>
      <c r="J136" t="s">
        <v>19</v>
      </c>
    </row>
    <row r="137" spans="1:10">
      <c r="A137" t="s">
        <v>133</v>
      </c>
      <c r="B137" t="s">
        <v>15</v>
      </c>
      <c r="C137" t="s">
        <v>16</v>
      </c>
      <c r="D137" t="s">
        <v>17</v>
      </c>
      <c r="E137" t="s">
        <v>30</v>
      </c>
      <c r="J137">
        <v>250000</v>
      </c>
    </row>
    <row r="138" spans="1:10">
      <c r="A138" t="s">
        <v>134</v>
      </c>
      <c r="C138" t="s">
        <v>16</v>
      </c>
      <c r="D138" t="s">
        <v>17</v>
      </c>
      <c r="F138">
        <v>3500</v>
      </c>
      <c r="G138">
        <v>3585</v>
      </c>
      <c r="H138">
        <v>3434</v>
      </c>
      <c r="I138">
        <v>3548</v>
      </c>
      <c r="J138" t="s">
        <v>19</v>
      </c>
    </row>
    <row r="139" spans="1:10">
      <c r="A139" t="s">
        <v>134</v>
      </c>
      <c r="B139" t="s">
        <v>11</v>
      </c>
      <c r="C139" t="s">
        <v>26</v>
      </c>
      <c r="D139" t="s">
        <v>27</v>
      </c>
      <c r="E139" t="s">
        <v>51</v>
      </c>
      <c r="F139">
        <v>2500</v>
      </c>
      <c r="G139">
        <v>2514</v>
      </c>
      <c r="H139">
        <v>2423</v>
      </c>
      <c r="I139">
        <v>2521</v>
      </c>
      <c r="J139" t="s">
        <v>19</v>
      </c>
    </row>
    <row r="140" spans="1:10">
      <c r="A140" t="s">
        <v>135</v>
      </c>
      <c r="B140" t="s">
        <v>15</v>
      </c>
      <c r="C140" t="s">
        <v>43</v>
      </c>
      <c r="D140" t="s">
        <v>44</v>
      </c>
      <c r="E140" t="s">
        <v>23</v>
      </c>
      <c r="F140">
        <v>3500</v>
      </c>
      <c r="G140">
        <v>3584</v>
      </c>
      <c r="H140">
        <v>3467</v>
      </c>
      <c r="I140">
        <v>3519</v>
      </c>
    </row>
    <row r="141" spans="1:10">
      <c r="A141" t="s">
        <v>136</v>
      </c>
      <c r="C141" t="s">
        <v>12</v>
      </c>
      <c r="D141" t="s">
        <v>13</v>
      </c>
      <c r="F141">
        <v>2500</v>
      </c>
      <c r="G141">
        <v>2543</v>
      </c>
      <c r="H141">
        <v>2462</v>
      </c>
      <c r="I141">
        <v>2476</v>
      </c>
      <c r="J141">
        <v>250000</v>
      </c>
    </row>
    <row r="142" spans="1:10">
      <c r="A142" t="s">
        <v>137</v>
      </c>
      <c r="B142" t="s">
        <v>11</v>
      </c>
      <c r="C142" t="s">
        <v>26</v>
      </c>
      <c r="D142" t="s">
        <v>27</v>
      </c>
      <c r="E142" t="s">
        <v>28</v>
      </c>
      <c r="F142">
        <v>2500</v>
      </c>
      <c r="G142">
        <v>2568</v>
      </c>
      <c r="H142">
        <v>2444</v>
      </c>
      <c r="I142">
        <v>2527</v>
      </c>
    </row>
    <row r="143" spans="1:10">
      <c r="A143" t="s">
        <v>138</v>
      </c>
      <c r="C143" t="s">
        <v>22</v>
      </c>
      <c r="D143" t="s">
        <v>22</v>
      </c>
      <c r="E143" t="s">
        <v>23</v>
      </c>
      <c r="F143">
        <v>3500</v>
      </c>
      <c r="G143">
        <v>3574</v>
      </c>
      <c r="H143">
        <v>3421</v>
      </c>
      <c r="I143">
        <v>3484</v>
      </c>
      <c r="J143">
        <v>250000</v>
      </c>
    </row>
    <row r="144" spans="1:10">
      <c r="A144" t="s">
        <v>138</v>
      </c>
      <c r="B144" t="s">
        <v>15</v>
      </c>
      <c r="C144" t="s">
        <v>22</v>
      </c>
      <c r="D144" t="s">
        <v>22</v>
      </c>
      <c r="E144" t="s">
        <v>23</v>
      </c>
      <c r="J144" t="s">
        <v>19</v>
      </c>
    </row>
    <row r="145" spans="1:10">
      <c r="A145" t="s">
        <v>139</v>
      </c>
      <c r="C145" t="s">
        <v>12</v>
      </c>
      <c r="D145" t="s">
        <v>13</v>
      </c>
      <c r="J145">
        <v>100000</v>
      </c>
    </row>
    <row r="146" spans="1:10">
      <c r="A146" t="s">
        <v>139</v>
      </c>
      <c r="B146" t="s">
        <v>11</v>
      </c>
      <c r="C146" t="s">
        <v>12</v>
      </c>
      <c r="D146" t="s">
        <v>13</v>
      </c>
      <c r="E146" t="s">
        <v>37</v>
      </c>
      <c r="F146">
        <v>2500</v>
      </c>
      <c r="G146">
        <v>2568</v>
      </c>
      <c r="H146">
        <v>2459</v>
      </c>
      <c r="I146">
        <v>2492</v>
      </c>
      <c r="J146">
        <v>100000</v>
      </c>
    </row>
    <row r="147" spans="1:10">
      <c r="A147" t="s">
        <v>140</v>
      </c>
      <c r="B147" t="s">
        <v>21</v>
      </c>
      <c r="C147" t="s">
        <v>26</v>
      </c>
      <c r="D147" t="s">
        <v>27</v>
      </c>
      <c r="F147">
        <v>1000</v>
      </c>
      <c r="G147">
        <v>1093</v>
      </c>
      <c r="H147">
        <v>920</v>
      </c>
      <c r="I147">
        <v>1007</v>
      </c>
      <c r="J147">
        <v>250000</v>
      </c>
    </row>
    <row r="148" spans="1:10">
      <c r="A148" t="s">
        <v>141</v>
      </c>
      <c r="B148" t="s">
        <v>11</v>
      </c>
      <c r="C148" t="s">
        <v>12</v>
      </c>
      <c r="D148" t="s">
        <v>13</v>
      </c>
      <c r="F148">
        <v>2500</v>
      </c>
      <c r="G148">
        <v>2544</v>
      </c>
      <c r="H148">
        <v>2432</v>
      </c>
      <c r="I148">
        <v>2469</v>
      </c>
    </row>
    <row r="149" spans="1:10">
      <c r="A149" t="s">
        <v>142</v>
      </c>
      <c r="B149" t="s">
        <v>11</v>
      </c>
      <c r="C149" t="s">
        <v>12</v>
      </c>
      <c r="D149" t="s">
        <v>13</v>
      </c>
      <c r="E149" t="s">
        <v>39</v>
      </c>
      <c r="F149">
        <v>3500</v>
      </c>
      <c r="G149">
        <v>3519</v>
      </c>
      <c r="H149">
        <v>3488</v>
      </c>
      <c r="I149">
        <v>3455</v>
      </c>
      <c r="J149">
        <v>100000</v>
      </c>
    </row>
    <row r="150" spans="1:10">
      <c r="A150" t="s">
        <v>143</v>
      </c>
      <c r="B150" t="s">
        <v>11</v>
      </c>
      <c r="C150" t="s">
        <v>22</v>
      </c>
      <c r="D150" t="s">
        <v>22</v>
      </c>
      <c r="J150">
        <v>250000</v>
      </c>
    </row>
    <row r="151" spans="1:10">
      <c r="A151" t="s">
        <v>144</v>
      </c>
      <c r="B151" t="s">
        <v>15</v>
      </c>
      <c r="C151" t="s">
        <v>12</v>
      </c>
      <c r="D151" t="s">
        <v>13</v>
      </c>
      <c r="F151">
        <v>2500</v>
      </c>
      <c r="G151">
        <v>2570</v>
      </c>
      <c r="H151">
        <v>2449</v>
      </c>
      <c r="I151">
        <v>2463</v>
      </c>
    </row>
    <row r="152" spans="1:10">
      <c r="A152" t="s">
        <v>144</v>
      </c>
      <c r="C152" t="s">
        <v>43</v>
      </c>
      <c r="D152" t="s">
        <v>44</v>
      </c>
      <c r="F152">
        <v>2500</v>
      </c>
      <c r="G152">
        <v>2581</v>
      </c>
      <c r="H152">
        <v>2466</v>
      </c>
      <c r="I152">
        <v>2502</v>
      </c>
      <c r="J152">
        <v>250000</v>
      </c>
    </row>
    <row r="153" spans="1:10">
      <c r="A153" t="s">
        <v>145</v>
      </c>
      <c r="B153" t="s">
        <v>11</v>
      </c>
      <c r="C153" t="s">
        <v>16</v>
      </c>
      <c r="D153" t="s">
        <v>17</v>
      </c>
      <c r="E153" t="s">
        <v>18</v>
      </c>
      <c r="F153">
        <v>2500</v>
      </c>
      <c r="G153">
        <v>2567</v>
      </c>
      <c r="H153">
        <v>2422</v>
      </c>
      <c r="I153">
        <v>2458</v>
      </c>
      <c r="J153">
        <v>100000</v>
      </c>
    </row>
    <row r="154" spans="1:10">
      <c r="A154" t="s">
        <v>145</v>
      </c>
      <c r="B154" t="s">
        <v>11</v>
      </c>
      <c r="C154" t="s">
        <v>12</v>
      </c>
      <c r="D154" t="s">
        <v>13</v>
      </c>
      <c r="F154">
        <v>3500</v>
      </c>
      <c r="G154">
        <v>3542</v>
      </c>
      <c r="H154">
        <v>3463</v>
      </c>
      <c r="I154">
        <v>3492</v>
      </c>
      <c r="J154" t="s">
        <v>19</v>
      </c>
    </row>
    <row r="155" spans="1:10">
      <c r="A155" t="s">
        <v>146</v>
      </c>
      <c r="C155" t="s">
        <v>22</v>
      </c>
      <c r="D155" t="s">
        <v>22</v>
      </c>
      <c r="E155" t="s">
        <v>23</v>
      </c>
      <c r="F155">
        <v>2500</v>
      </c>
      <c r="G155">
        <v>2550</v>
      </c>
      <c r="H155">
        <v>2471</v>
      </c>
      <c r="I155">
        <v>2507</v>
      </c>
      <c r="J155" t="s">
        <v>19</v>
      </c>
    </row>
    <row r="156" spans="1:10">
      <c r="A156" t="s">
        <v>146</v>
      </c>
      <c r="B156" t="s">
        <v>11</v>
      </c>
      <c r="C156" t="s">
        <v>26</v>
      </c>
      <c r="D156" t="s">
        <v>27</v>
      </c>
      <c r="F156">
        <v>1000</v>
      </c>
      <c r="G156">
        <v>1048</v>
      </c>
      <c r="H156">
        <v>958</v>
      </c>
      <c r="I156">
        <v>1006</v>
      </c>
    </row>
    <row r="157" spans="1:10">
      <c r="A157" t="s">
        <v>147</v>
      </c>
      <c r="C157" t="s">
        <v>16</v>
      </c>
      <c r="D157" t="s">
        <v>17</v>
      </c>
      <c r="E157" t="s">
        <v>18</v>
      </c>
      <c r="J157">
        <v>100000</v>
      </c>
    </row>
    <row r="158" spans="1:10">
      <c r="A158" t="s">
        <v>148</v>
      </c>
      <c r="B158" t="s">
        <v>21</v>
      </c>
      <c r="C158" t="s">
        <v>12</v>
      </c>
      <c r="D158" t="s">
        <v>13</v>
      </c>
      <c r="J158">
        <v>100000</v>
      </c>
    </row>
    <row r="159" spans="1:10">
      <c r="A159" t="s">
        <v>149</v>
      </c>
      <c r="B159" t="s">
        <v>15</v>
      </c>
      <c r="C159" t="s">
        <v>16</v>
      </c>
      <c r="D159" t="s">
        <v>17</v>
      </c>
      <c r="E159" t="s">
        <v>30</v>
      </c>
      <c r="J159" t="s">
        <v>19</v>
      </c>
    </row>
    <row r="160" spans="1:10">
      <c r="A160" t="s">
        <v>149</v>
      </c>
      <c r="B160" t="s">
        <v>11</v>
      </c>
      <c r="C160" t="s">
        <v>26</v>
      </c>
      <c r="D160" t="s">
        <v>27</v>
      </c>
      <c r="E160" t="s">
        <v>51</v>
      </c>
      <c r="F160">
        <v>3500</v>
      </c>
      <c r="G160">
        <v>3565</v>
      </c>
      <c r="H160">
        <v>3448</v>
      </c>
      <c r="I160">
        <v>3461</v>
      </c>
      <c r="J160">
        <v>100000</v>
      </c>
    </row>
    <row r="161" spans="1:10">
      <c r="A161" t="s">
        <v>150</v>
      </c>
      <c r="B161" t="s">
        <v>15</v>
      </c>
      <c r="C161" t="s">
        <v>22</v>
      </c>
      <c r="D161" t="s">
        <v>22</v>
      </c>
    </row>
    <row r="162" spans="1:10">
      <c r="A162" t="s">
        <v>150</v>
      </c>
      <c r="B162" t="s">
        <v>21</v>
      </c>
      <c r="C162" t="s">
        <v>16</v>
      </c>
      <c r="D162" t="s">
        <v>17</v>
      </c>
      <c r="F162">
        <v>3500</v>
      </c>
      <c r="G162">
        <v>3532</v>
      </c>
      <c r="H162">
        <v>3465</v>
      </c>
      <c r="I162">
        <v>3482</v>
      </c>
      <c r="J162">
        <v>250000</v>
      </c>
    </row>
    <row r="163" spans="1:10">
      <c r="A163" t="s">
        <v>151</v>
      </c>
      <c r="C163" t="s">
        <v>22</v>
      </c>
      <c r="D163" t="s">
        <v>22</v>
      </c>
      <c r="E163" t="s">
        <v>23</v>
      </c>
      <c r="F163">
        <v>2500</v>
      </c>
      <c r="G163">
        <v>2519</v>
      </c>
      <c r="H163">
        <v>2450</v>
      </c>
      <c r="I163">
        <v>2488</v>
      </c>
    </row>
    <row r="164" spans="1:10">
      <c r="A164" t="s">
        <v>152</v>
      </c>
      <c r="B164" t="s">
        <v>21</v>
      </c>
      <c r="C164" t="s">
        <v>22</v>
      </c>
      <c r="D164" t="s">
        <v>22</v>
      </c>
      <c r="E164" t="s">
        <v>23</v>
      </c>
      <c r="F164">
        <v>3500</v>
      </c>
      <c r="G164">
        <v>3517</v>
      </c>
      <c r="H164">
        <v>3479</v>
      </c>
      <c r="I164">
        <v>3514</v>
      </c>
      <c r="J164">
        <v>250000</v>
      </c>
    </row>
    <row r="165" spans="1:10">
      <c r="A165" t="s">
        <v>152</v>
      </c>
      <c r="B165" t="s">
        <v>15</v>
      </c>
      <c r="C165" t="s">
        <v>26</v>
      </c>
      <c r="D165" t="s">
        <v>27</v>
      </c>
      <c r="E165" t="s">
        <v>51</v>
      </c>
      <c r="F165">
        <v>3500</v>
      </c>
      <c r="G165">
        <v>3564</v>
      </c>
      <c r="H165">
        <v>3486</v>
      </c>
      <c r="I165">
        <v>3534</v>
      </c>
    </row>
    <row r="166" spans="1:10">
      <c r="A166" t="s">
        <v>153</v>
      </c>
      <c r="B166" t="s">
        <v>15</v>
      </c>
      <c r="C166" t="s">
        <v>22</v>
      </c>
      <c r="D166" t="s">
        <v>22</v>
      </c>
      <c r="E166" t="s">
        <v>23</v>
      </c>
      <c r="F166">
        <v>2500</v>
      </c>
      <c r="G166">
        <v>2544</v>
      </c>
      <c r="H166">
        <v>2433</v>
      </c>
      <c r="I166">
        <v>2469</v>
      </c>
      <c r="J166">
        <v>250000</v>
      </c>
    </row>
    <row r="167" spans="1:10">
      <c r="A167" t="s">
        <v>153</v>
      </c>
      <c r="B167" t="s">
        <v>15</v>
      </c>
      <c r="C167" t="s">
        <v>12</v>
      </c>
      <c r="D167" t="s">
        <v>13</v>
      </c>
      <c r="F167">
        <v>3500</v>
      </c>
      <c r="G167">
        <v>3524</v>
      </c>
      <c r="H167">
        <v>3490</v>
      </c>
      <c r="I167">
        <v>3524</v>
      </c>
      <c r="J167" t="s">
        <v>19</v>
      </c>
    </row>
    <row r="168" spans="1:10">
      <c r="A168" t="s">
        <v>154</v>
      </c>
      <c r="B168" t="s">
        <v>21</v>
      </c>
      <c r="C168" t="s">
        <v>12</v>
      </c>
      <c r="D168" t="s">
        <v>13</v>
      </c>
    </row>
    <row r="169" spans="1:10">
      <c r="A169" t="s">
        <v>155</v>
      </c>
      <c r="B169" t="s">
        <v>11</v>
      </c>
      <c r="C169" t="s">
        <v>26</v>
      </c>
      <c r="D169" t="s">
        <v>27</v>
      </c>
      <c r="F169">
        <v>1000</v>
      </c>
      <c r="G169">
        <v>1017</v>
      </c>
      <c r="H169">
        <v>967</v>
      </c>
      <c r="I169">
        <v>1022</v>
      </c>
    </row>
    <row r="170" spans="1:10">
      <c r="A170" t="s">
        <v>156</v>
      </c>
      <c r="C170" t="s">
        <v>22</v>
      </c>
      <c r="D170" t="s">
        <v>22</v>
      </c>
      <c r="E170" t="s">
        <v>23</v>
      </c>
      <c r="J170">
        <v>100000</v>
      </c>
    </row>
    <row r="171" spans="1:10">
      <c r="A171" t="s">
        <v>157</v>
      </c>
      <c r="B171" t="s">
        <v>15</v>
      </c>
      <c r="C171" t="s">
        <v>26</v>
      </c>
      <c r="D171" t="s">
        <v>27</v>
      </c>
      <c r="F171">
        <v>3500</v>
      </c>
      <c r="G171">
        <v>3586</v>
      </c>
      <c r="H171">
        <v>3484</v>
      </c>
      <c r="I171">
        <v>3479</v>
      </c>
      <c r="J171" t="s">
        <v>19</v>
      </c>
    </row>
    <row r="172" spans="1:10">
      <c r="A172" t="s">
        <v>158</v>
      </c>
      <c r="B172" t="s">
        <v>15</v>
      </c>
      <c r="C172" t="s">
        <v>43</v>
      </c>
      <c r="D172" t="s">
        <v>44</v>
      </c>
      <c r="F172">
        <v>1000</v>
      </c>
      <c r="G172">
        <v>1094</v>
      </c>
      <c r="H172">
        <v>971</v>
      </c>
      <c r="I172">
        <v>985</v>
      </c>
    </row>
    <row r="173" spans="1:10">
      <c r="A173" t="s">
        <v>158</v>
      </c>
      <c r="C173" t="s">
        <v>22</v>
      </c>
      <c r="D173" t="s">
        <v>22</v>
      </c>
      <c r="E173" t="s">
        <v>23</v>
      </c>
      <c r="F173">
        <v>1000</v>
      </c>
      <c r="G173">
        <v>1100</v>
      </c>
      <c r="H173">
        <v>943</v>
      </c>
      <c r="I173">
        <v>985</v>
      </c>
      <c r="J173" t="s">
        <v>19</v>
      </c>
    </row>
    <row r="174" spans="1:10">
      <c r="A174" t="s">
        <v>159</v>
      </c>
      <c r="B174" t="s">
        <v>15</v>
      </c>
      <c r="C174" t="s">
        <v>16</v>
      </c>
      <c r="D174" t="s">
        <v>17</v>
      </c>
      <c r="J174">
        <v>100000</v>
      </c>
    </row>
    <row r="175" spans="1:10">
      <c r="A175" t="s">
        <v>160</v>
      </c>
      <c r="B175" t="s">
        <v>15</v>
      </c>
      <c r="C175" t="s">
        <v>26</v>
      </c>
      <c r="D175" t="s">
        <v>27</v>
      </c>
      <c r="E175" t="s">
        <v>28</v>
      </c>
      <c r="F175">
        <v>2500</v>
      </c>
      <c r="G175">
        <v>2523</v>
      </c>
      <c r="H175">
        <v>2464</v>
      </c>
      <c r="I175">
        <v>2472</v>
      </c>
      <c r="J175" t="s">
        <v>19</v>
      </c>
    </row>
    <row r="176" spans="1:10">
      <c r="A176" t="s">
        <v>161</v>
      </c>
      <c r="B176" t="s">
        <v>15</v>
      </c>
      <c r="C176" t="s">
        <v>22</v>
      </c>
      <c r="D176" t="s">
        <v>22</v>
      </c>
      <c r="E176" t="s">
        <v>23</v>
      </c>
      <c r="F176">
        <v>3500</v>
      </c>
      <c r="G176">
        <v>3560</v>
      </c>
      <c r="H176">
        <v>3443</v>
      </c>
      <c r="I176">
        <v>3538</v>
      </c>
      <c r="J176">
        <v>250000</v>
      </c>
    </row>
    <row r="177" spans="1:10">
      <c r="A177" t="s">
        <v>162</v>
      </c>
      <c r="C177" t="s">
        <v>43</v>
      </c>
      <c r="D177" t="s">
        <v>44</v>
      </c>
    </row>
    <row r="178" spans="1:10">
      <c r="A178" t="s">
        <v>162</v>
      </c>
      <c r="C178" t="s">
        <v>43</v>
      </c>
      <c r="D178" t="s">
        <v>44</v>
      </c>
      <c r="F178">
        <v>3500</v>
      </c>
      <c r="G178">
        <v>3583</v>
      </c>
      <c r="H178">
        <v>3485</v>
      </c>
      <c r="I178">
        <v>3469</v>
      </c>
      <c r="J178" t="s">
        <v>19</v>
      </c>
    </row>
    <row r="179" spans="1:10">
      <c r="A179" t="s">
        <v>163</v>
      </c>
      <c r="B179" t="s">
        <v>15</v>
      </c>
      <c r="C179" t="s">
        <v>22</v>
      </c>
      <c r="D179" t="s">
        <v>22</v>
      </c>
      <c r="F179">
        <v>2500</v>
      </c>
      <c r="G179">
        <v>2545</v>
      </c>
      <c r="H179">
        <v>2437</v>
      </c>
      <c r="I179">
        <v>2527</v>
      </c>
      <c r="J179">
        <v>100000</v>
      </c>
    </row>
    <row r="180" spans="1:10">
      <c r="A180" t="s">
        <v>164</v>
      </c>
      <c r="B180" t="s">
        <v>15</v>
      </c>
      <c r="C180" t="s">
        <v>43</v>
      </c>
      <c r="D180" t="s">
        <v>44</v>
      </c>
      <c r="E180" t="s">
        <v>23</v>
      </c>
      <c r="F180">
        <v>3500</v>
      </c>
      <c r="G180">
        <v>3572</v>
      </c>
      <c r="H180">
        <v>3461</v>
      </c>
      <c r="I180">
        <v>3494</v>
      </c>
      <c r="J180">
        <v>100000</v>
      </c>
    </row>
    <row r="181" spans="1:10">
      <c r="A181" t="s">
        <v>165</v>
      </c>
      <c r="C181" t="s">
        <v>16</v>
      </c>
      <c r="D181" t="s">
        <v>17</v>
      </c>
      <c r="E181" t="s">
        <v>18</v>
      </c>
    </row>
    <row r="182" spans="1:10">
      <c r="A182" t="s">
        <v>165</v>
      </c>
      <c r="B182" t="s">
        <v>21</v>
      </c>
      <c r="C182" t="s">
        <v>16</v>
      </c>
      <c r="D182" t="s">
        <v>17</v>
      </c>
      <c r="E182" t="s">
        <v>18</v>
      </c>
      <c r="J182">
        <v>100000</v>
      </c>
    </row>
    <row r="183" spans="1:10">
      <c r="A183" t="s">
        <v>166</v>
      </c>
      <c r="B183" t="s">
        <v>15</v>
      </c>
      <c r="C183" t="s">
        <v>43</v>
      </c>
      <c r="D183" t="s">
        <v>44</v>
      </c>
      <c r="E183" t="s">
        <v>23</v>
      </c>
      <c r="F183">
        <v>3500</v>
      </c>
      <c r="G183">
        <v>3515</v>
      </c>
      <c r="H183">
        <v>3487</v>
      </c>
      <c r="I183">
        <v>3478</v>
      </c>
      <c r="J183" t="s">
        <v>19</v>
      </c>
    </row>
    <row r="184" spans="1:10">
      <c r="A184" t="s">
        <v>167</v>
      </c>
      <c r="C184" t="s">
        <v>12</v>
      </c>
      <c r="D184" t="s">
        <v>13</v>
      </c>
      <c r="E184" t="s">
        <v>37</v>
      </c>
      <c r="F184">
        <v>1000</v>
      </c>
      <c r="G184">
        <v>1059</v>
      </c>
      <c r="H184">
        <v>987</v>
      </c>
      <c r="I184">
        <v>1049</v>
      </c>
      <c r="J184" t="s">
        <v>19</v>
      </c>
    </row>
    <row r="185" spans="1:10">
      <c r="A185" t="s">
        <v>168</v>
      </c>
      <c r="B185" t="s">
        <v>11</v>
      </c>
      <c r="C185" t="s">
        <v>16</v>
      </c>
      <c r="D185" t="s">
        <v>17</v>
      </c>
      <c r="E185" t="s">
        <v>30</v>
      </c>
      <c r="F185">
        <v>3500</v>
      </c>
      <c r="G185">
        <v>3583</v>
      </c>
      <c r="H185">
        <v>3432</v>
      </c>
      <c r="I185">
        <v>3528</v>
      </c>
      <c r="J185">
        <v>100000</v>
      </c>
    </row>
    <row r="186" spans="1:10">
      <c r="A186" t="s">
        <v>169</v>
      </c>
      <c r="B186" t="s">
        <v>15</v>
      </c>
      <c r="C186" t="s">
        <v>22</v>
      </c>
      <c r="D186" t="s">
        <v>22</v>
      </c>
      <c r="F186">
        <v>3500</v>
      </c>
      <c r="G186">
        <v>3585</v>
      </c>
      <c r="H186">
        <v>3426</v>
      </c>
      <c r="I186">
        <v>3545</v>
      </c>
      <c r="J186">
        <v>100000</v>
      </c>
    </row>
    <row r="187" spans="1:10">
      <c r="A187" t="s">
        <v>170</v>
      </c>
      <c r="C187" t="s">
        <v>22</v>
      </c>
      <c r="D187" t="s">
        <v>22</v>
      </c>
      <c r="J187">
        <v>250000</v>
      </c>
    </row>
    <row r="188" spans="1:10">
      <c r="A188" t="s">
        <v>170</v>
      </c>
      <c r="B188" t="s">
        <v>21</v>
      </c>
      <c r="C188" t="s">
        <v>22</v>
      </c>
      <c r="D188" t="s">
        <v>22</v>
      </c>
      <c r="E188" t="s">
        <v>23</v>
      </c>
      <c r="F188">
        <v>3500</v>
      </c>
      <c r="G188">
        <v>3565</v>
      </c>
      <c r="H188">
        <v>3476</v>
      </c>
      <c r="I188">
        <v>3539</v>
      </c>
      <c r="J188" t="s">
        <v>19</v>
      </c>
    </row>
    <row r="189" spans="1:10">
      <c r="A189" t="s">
        <v>171</v>
      </c>
      <c r="B189" t="s">
        <v>11</v>
      </c>
      <c r="C189" t="s">
        <v>26</v>
      </c>
      <c r="D189" t="s">
        <v>27</v>
      </c>
      <c r="F189">
        <v>3500</v>
      </c>
      <c r="G189">
        <v>3593</v>
      </c>
      <c r="H189">
        <v>3465</v>
      </c>
      <c r="I189">
        <v>3464</v>
      </c>
      <c r="J189" t="s">
        <v>19</v>
      </c>
    </row>
    <row r="190" spans="1:10">
      <c r="A190" t="s">
        <v>172</v>
      </c>
      <c r="C190" t="s">
        <v>16</v>
      </c>
      <c r="D190" t="s">
        <v>17</v>
      </c>
      <c r="F190">
        <v>1000</v>
      </c>
      <c r="G190">
        <v>1040</v>
      </c>
      <c r="H190">
        <v>970</v>
      </c>
      <c r="I190">
        <v>950</v>
      </c>
    </row>
    <row r="191" spans="1:10">
      <c r="A191" t="s">
        <v>172</v>
      </c>
      <c r="B191" t="s">
        <v>11</v>
      </c>
      <c r="C191" t="s">
        <v>26</v>
      </c>
      <c r="D191" t="s">
        <v>27</v>
      </c>
      <c r="E191" t="s">
        <v>28</v>
      </c>
      <c r="J191">
        <v>100000</v>
      </c>
    </row>
    <row r="192" spans="1:10">
      <c r="A192" t="s">
        <v>173</v>
      </c>
      <c r="B192" t="s">
        <v>15</v>
      </c>
      <c r="C192" t="s">
        <v>12</v>
      </c>
      <c r="D192" t="s">
        <v>13</v>
      </c>
      <c r="E192" t="s">
        <v>37</v>
      </c>
      <c r="F192">
        <v>2500</v>
      </c>
      <c r="G192">
        <v>2541</v>
      </c>
      <c r="H192">
        <v>2450</v>
      </c>
      <c r="I192">
        <v>2486</v>
      </c>
      <c r="J192" t="s">
        <v>19</v>
      </c>
    </row>
    <row r="193" spans="1:10">
      <c r="A193" t="s">
        <v>174</v>
      </c>
      <c r="B193" t="s">
        <v>21</v>
      </c>
      <c r="C193" t="s">
        <v>26</v>
      </c>
      <c r="D193" t="s">
        <v>27</v>
      </c>
      <c r="E193" t="s">
        <v>51</v>
      </c>
      <c r="F193">
        <v>2500</v>
      </c>
      <c r="G193">
        <v>2514</v>
      </c>
      <c r="H193">
        <v>2470</v>
      </c>
      <c r="I193">
        <v>2503</v>
      </c>
    </row>
    <row r="194" spans="1:10">
      <c r="A194" t="s">
        <v>175</v>
      </c>
      <c r="B194" t="s">
        <v>11</v>
      </c>
      <c r="C194" t="s">
        <v>43</v>
      </c>
      <c r="D194" t="s">
        <v>44</v>
      </c>
      <c r="F194">
        <v>3500</v>
      </c>
      <c r="G194">
        <v>3549</v>
      </c>
      <c r="H194">
        <v>3436</v>
      </c>
      <c r="I194">
        <v>3520</v>
      </c>
      <c r="J194">
        <v>250000</v>
      </c>
    </row>
    <row r="195" spans="1:10">
      <c r="A195" t="s">
        <v>175</v>
      </c>
      <c r="B195" t="s">
        <v>21</v>
      </c>
      <c r="C195" t="s">
        <v>22</v>
      </c>
      <c r="D195" t="s">
        <v>22</v>
      </c>
      <c r="E195" t="s">
        <v>23</v>
      </c>
      <c r="J195" t="s">
        <v>19</v>
      </c>
    </row>
    <row r="196" spans="1:10">
      <c r="A196" t="s">
        <v>176</v>
      </c>
      <c r="B196" t="s">
        <v>11</v>
      </c>
      <c r="C196" t="s">
        <v>12</v>
      </c>
      <c r="D196" t="s">
        <v>13</v>
      </c>
      <c r="E196" t="s">
        <v>37</v>
      </c>
      <c r="F196">
        <v>3500</v>
      </c>
      <c r="G196">
        <v>3563</v>
      </c>
      <c r="H196">
        <v>3449</v>
      </c>
      <c r="I196">
        <v>3513</v>
      </c>
      <c r="J196">
        <v>250000</v>
      </c>
    </row>
    <row r="197" spans="1:10">
      <c r="A197" t="s">
        <v>176</v>
      </c>
      <c r="B197" t="s">
        <v>15</v>
      </c>
      <c r="C197" t="s">
        <v>26</v>
      </c>
      <c r="D197" t="s">
        <v>27</v>
      </c>
      <c r="F197">
        <v>3500</v>
      </c>
      <c r="G197">
        <v>3531</v>
      </c>
      <c r="H197">
        <v>3452</v>
      </c>
      <c r="I197">
        <v>3520</v>
      </c>
      <c r="J197">
        <v>100000</v>
      </c>
    </row>
    <row r="198" spans="1:10">
      <c r="A198" t="s">
        <v>177</v>
      </c>
      <c r="B198" t="s">
        <v>21</v>
      </c>
      <c r="C198" t="s">
        <v>43</v>
      </c>
      <c r="D198" t="s">
        <v>44</v>
      </c>
      <c r="E198" t="s">
        <v>23</v>
      </c>
      <c r="F198">
        <v>1000</v>
      </c>
      <c r="G198">
        <v>1088</v>
      </c>
      <c r="H198">
        <v>935</v>
      </c>
      <c r="I198">
        <v>1031</v>
      </c>
      <c r="J198" t="s">
        <v>19</v>
      </c>
    </row>
    <row r="199" spans="1:10">
      <c r="A199" t="s">
        <v>178</v>
      </c>
      <c r="C199" t="s">
        <v>22</v>
      </c>
      <c r="D199" t="s">
        <v>22</v>
      </c>
      <c r="E199" t="s">
        <v>23</v>
      </c>
      <c r="F199">
        <v>1000</v>
      </c>
      <c r="G199">
        <v>1080</v>
      </c>
      <c r="H199">
        <v>923</v>
      </c>
      <c r="I199">
        <v>970</v>
      </c>
      <c r="J199" t="s">
        <v>19</v>
      </c>
    </row>
    <row r="200" spans="1:10">
      <c r="A200" t="s">
        <v>179</v>
      </c>
      <c r="B200" t="s">
        <v>15</v>
      </c>
      <c r="C200" t="s">
        <v>16</v>
      </c>
      <c r="D200" t="s">
        <v>17</v>
      </c>
      <c r="F200">
        <v>2500</v>
      </c>
      <c r="G200">
        <v>2590</v>
      </c>
      <c r="H200">
        <v>2425</v>
      </c>
      <c r="I200">
        <v>2543</v>
      </c>
      <c r="J200">
        <v>250000</v>
      </c>
    </row>
    <row r="201" spans="1:10">
      <c r="A201" t="s">
        <v>180</v>
      </c>
      <c r="B201" t="s">
        <v>15</v>
      </c>
      <c r="C201" t="s">
        <v>12</v>
      </c>
      <c r="D201" t="s">
        <v>13</v>
      </c>
      <c r="E201" t="s">
        <v>37</v>
      </c>
      <c r="J201">
        <v>250000</v>
      </c>
    </row>
    <row r="202" spans="1:10">
      <c r="A202" t="s">
        <v>181</v>
      </c>
      <c r="B202" t="s">
        <v>21</v>
      </c>
      <c r="C202" t="s">
        <v>26</v>
      </c>
      <c r="D202" t="s">
        <v>27</v>
      </c>
      <c r="E202" t="s">
        <v>51</v>
      </c>
      <c r="F202">
        <v>1000</v>
      </c>
      <c r="G202">
        <v>1069</v>
      </c>
      <c r="H202">
        <v>951</v>
      </c>
      <c r="I202">
        <v>1026</v>
      </c>
      <c r="J202">
        <v>250000</v>
      </c>
    </row>
    <row r="203" spans="1:10">
      <c r="A203" t="s">
        <v>182</v>
      </c>
      <c r="C203" t="s">
        <v>22</v>
      </c>
      <c r="D203" t="s">
        <v>22</v>
      </c>
      <c r="E203" t="s">
        <v>23</v>
      </c>
      <c r="F203">
        <v>3500</v>
      </c>
      <c r="G203">
        <v>3588</v>
      </c>
      <c r="H203">
        <v>3489</v>
      </c>
      <c r="I203">
        <v>3497</v>
      </c>
      <c r="J203">
        <v>100000</v>
      </c>
    </row>
    <row r="204" spans="1:10">
      <c r="A204" t="s">
        <v>182</v>
      </c>
      <c r="B204" t="s">
        <v>21</v>
      </c>
      <c r="C204" t="s">
        <v>22</v>
      </c>
      <c r="D204" t="s">
        <v>22</v>
      </c>
      <c r="E204" t="s">
        <v>23</v>
      </c>
    </row>
    <row r="205" spans="1:10">
      <c r="A205" t="s">
        <v>183</v>
      </c>
      <c r="B205" t="s">
        <v>11</v>
      </c>
      <c r="C205" t="s">
        <v>16</v>
      </c>
      <c r="D205" t="s">
        <v>17</v>
      </c>
      <c r="F205">
        <v>3500</v>
      </c>
      <c r="G205">
        <v>3555</v>
      </c>
      <c r="H205">
        <v>3421</v>
      </c>
      <c r="I205">
        <v>3463</v>
      </c>
      <c r="J205">
        <v>250000</v>
      </c>
    </row>
    <row r="206" spans="1:10">
      <c r="A206" t="s">
        <v>184</v>
      </c>
      <c r="B206" t="s">
        <v>21</v>
      </c>
      <c r="C206" t="s">
        <v>16</v>
      </c>
      <c r="D206" t="s">
        <v>17</v>
      </c>
      <c r="E206" t="s">
        <v>30</v>
      </c>
      <c r="F206">
        <v>1000</v>
      </c>
      <c r="G206">
        <v>1048</v>
      </c>
      <c r="H206">
        <v>952</v>
      </c>
      <c r="I206">
        <v>1041</v>
      </c>
      <c r="J206">
        <v>250000</v>
      </c>
    </row>
    <row r="207" spans="1:10">
      <c r="A207" t="s">
        <v>185</v>
      </c>
      <c r="B207" t="s">
        <v>21</v>
      </c>
      <c r="C207" t="s">
        <v>26</v>
      </c>
      <c r="D207" t="s">
        <v>27</v>
      </c>
      <c r="E207" t="s">
        <v>28</v>
      </c>
      <c r="J207" t="s">
        <v>19</v>
      </c>
    </row>
    <row r="208" spans="1:10">
      <c r="A208" t="s">
        <v>185</v>
      </c>
      <c r="B208" t="s">
        <v>15</v>
      </c>
      <c r="C208" t="s">
        <v>12</v>
      </c>
      <c r="D208" t="s">
        <v>13</v>
      </c>
      <c r="E208" t="s">
        <v>37</v>
      </c>
      <c r="F208">
        <v>2500</v>
      </c>
      <c r="G208">
        <v>2524</v>
      </c>
      <c r="H208">
        <v>2441</v>
      </c>
      <c r="I208">
        <v>2475</v>
      </c>
    </row>
    <row r="209" spans="1:10">
      <c r="A209" t="s">
        <v>186</v>
      </c>
      <c r="B209" t="s">
        <v>15</v>
      </c>
      <c r="C209" t="s">
        <v>26</v>
      </c>
      <c r="D209" t="s">
        <v>27</v>
      </c>
      <c r="E209" t="s">
        <v>28</v>
      </c>
      <c r="J209" t="s">
        <v>19</v>
      </c>
    </row>
    <row r="210" spans="1:10">
      <c r="A210" t="s">
        <v>187</v>
      </c>
      <c r="B210" t="s">
        <v>15</v>
      </c>
      <c r="C210" t="s">
        <v>22</v>
      </c>
      <c r="D210" t="s">
        <v>22</v>
      </c>
      <c r="E210" t="s">
        <v>23</v>
      </c>
    </row>
    <row r="211" spans="1:10">
      <c r="A211" t="s">
        <v>187</v>
      </c>
      <c r="B211" t="s">
        <v>21</v>
      </c>
      <c r="C211" t="s">
        <v>12</v>
      </c>
      <c r="D211" t="s">
        <v>13</v>
      </c>
      <c r="E211" t="s">
        <v>37</v>
      </c>
      <c r="F211">
        <v>1000</v>
      </c>
      <c r="G211">
        <v>1080</v>
      </c>
      <c r="H211">
        <v>948</v>
      </c>
      <c r="I211">
        <v>994</v>
      </c>
      <c r="J211" t="s">
        <v>19</v>
      </c>
    </row>
    <row r="212" spans="1:10">
      <c r="A212" t="s">
        <v>188</v>
      </c>
      <c r="B212" t="s">
        <v>21</v>
      </c>
      <c r="C212" t="s">
        <v>12</v>
      </c>
      <c r="D212" t="s">
        <v>13</v>
      </c>
      <c r="E212" t="s">
        <v>37</v>
      </c>
      <c r="F212">
        <v>3500</v>
      </c>
      <c r="G212">
        <v>3518</v>
      </c>
      <c r="H212">
        <v>3443</v>
      </c>
      <c r="I212">
        <v>3451</v>
      </c>
    </row>
    <row r="213" spans="1:10">
      <c r="A213" t="s">
        <v>188</v>
      </c>
      <c r="B213" t="s">
        <v>15</v>
      </c>
      <c r="C213" t="s">
        <v>22</v>
      </c>
      <c r="D213" t="s">
        <v>22</v>
      </c>
      <c r="E213" t="s">
        <v>23</v>
      </c>
      <c r="F213">
        <v>2500</v>
      </c>
      <c r="G213">
        <v>2552</v>
      </c>
      <c r="H213">
        <v>2464</v>
      </c>
      <c r="I213">
        <v>2499</v>
      </c>
      <c r="J213">
        <v>250000</v>
      </c>
    </row>
    <row r="214" spans="1:10">
      <c r="A214" t="s">
        <v>189</v>
      </c>
      <c r="B214" t="s">
        <v>15</v>
      </c>
      <c r="C214" t="s">
        <v>43</v>
      </c>
      <c r="D214" t="s">
        <v>44</v>
      </c>
      <c r="E214" t="s">
        <v>23</v>
      </c>
      <c r="J214">
        <v>250000</v>
      </c>
    </row>
    <row r="215" spans="1:10">
      <c r="A215" t="s">
        <v>190</v>
      </c>
      <c r="B215" t="s">
        <v>21</v>
      </c>
      <c r="C215" t="s">
        <v>16</v>
      </c>
      <c r="D215" t="s">
        <v>17</v>
      </c>
      <c r="F215">
        <v>2500</v>
      </c>
      <c r="G215">
        <v>2589</v>
      </c>
      <c r="H215">
        <v>2426</v>
      </c>
      <c r="I215">
        <v>2523</v>
      </c>
      <c r="J215" t="s">
        <v>19</v>
      </c>
    </row>
    <row r="216" spans="1:10">
      <c r="A216" t="s">
        <v>190</v>
      </c>
      <c r="B216" t="s">
        <v>21</v>
      </c>
      <c r="C216" t="s">
        <v>16</v>
      </c>
      <c r="D216" t="s">
        <v>17</v>
      </c>
      <c r="E216" t="s">
        <v>30</v>
      </c>
      <c r="F216">
        <v>2500</v>
      </c>
      <c r="G216">
        <v>2576</v>
      </c>
      <c r="H216">
        <v>2421</v>
      </c>
      <c r="I216">
        <v>2462</v>
      </c>
      <c r="J216">
        <v>100000</v>
      </c>
    </row>
    <row r="217" spans="1:10">
      <c r="A217" t="s">
        <v>191</v>
      </c>
      <c r="C217" t="s">
        <v>43</v>
      </c>
      <c r="D217" t="s">
        <v>44</v>
      </c>
      <c r="J217" t="s">
        <v>19</v>
      </c>
    </row>
    <row r="218" spans="1:10">
      <c r="A218" t="s">
        <v>191</v>
      </c>
      <c r="B218" t="s">
        <v>11</v>
      </c>
      <c r="C218" t="s">
        <v>26</v>
      </c>
      <c r="D218" t="s">
        <v>27</v>
      </c>
      <c r="E218" t="s">
        <v>28</v>
      </c>
      <c r="J218">
        <v>250000</v>
      </c>
    </row>
    <row r="219" spans="1:10">
      <c r="A219" t="s">
        <v>192</v>
      </c>
      <c r="B219" t="s">
        <v>15</v>
      </c>
      <c r="C219" t="s">
        <v>43</v>
      </c>
      <c r="D219" t="s">
        <v>44</v>
      </c>
      <c r="E219" t="s">
        <v>23</v>
      </c>
      <c r="F219">
        <v>2500</v>
      </c>
      <c r="G219">
        <v>2595</v>
      </c>
      <c r="H219">
        <v>2451</v>
      </c>
      <c r="I219">
        <v>2466</v>
      </c>
      <c r="J219" t="s">
        <v>19</v>
      </c>
    </row>
    <row r="220" spans="1:10">
      <c r="A220" t="s">
        <v>193</v>
      </c>
      <c r="B220" t="s">
        <v>21</v>
      </c>
      <c r="C220" t="s">
        <v>22</v>
      </c>
      <c r="D220" t="s">
        <v>22</v>
      </c>
      <c r="E220" t="s">
        <v>23</v>
      </c>
      <c r="F220">
        <v>1000</v>
      </c>
      <c r="G220">
        <v>1037</v>
      </c>
      <c r="H220">
        <v>975</v>
      </c>
      <c r="I220">
        <v>1047</v>
      </c>
      <c r="J220">
        <v>250000</v>
      </c>
    </row>
    <row r="221" spans="1:10">
      <c r="A221" t="s">
        <v>193</v>
      </c>
      <c r="B221" t="s">
        <v>11</v>
      </c>
      <c r="C221" t="s">
        <v>16</v>
      </c>
      <c r="D221" t="s">
        <v>17</v>
      </c>
      <c r="E221" t="s">
        <v>30</v>
      </c>
      <c r="F221">
        <v>1000</v>
      </c>
      <c r="G221">
        <v>1055</v>
      </c>
      <c r="H221">
        <v>935</v>
      </c>
      <c r="I221">
        <v>1033</v>
      </c>
      <c r="J221" t="s">
        <v>19</v>
      </c>
    </row>
    <row r="222" spans="1:10">
      <c r="A222" t="s">
        <v>194</v>
      </c>
      <c r="B222" t="s">
        <v>15</v>
      </c>
      <c r="C222" t="s">
        <v>16</v>
      </c>
      <c r="D222" t="s">
        <v>17</v>
      </c>
      <c r="E222" t="s">
        <v>18</v>
      </c>
      <c r="F222">
        <v>3500</v>
      </c>
      <c r="G222">
        <v>3572</v>
      </c>
      <c r="H222">
        <v>3454</v>
      </c>
      <c r="I222">
        <v>3471</v>
      </c>
      <c r="J222">
        <v>250000</v>
      </c>
    </row>
    <row r="223" spans="1:10">
      <c r="A223" t="s">
        <v>195</v>
      </c>
      <c r="B223" t="s">
        <v>11</v>
      </c>
      <c r="C223" t="s">
        <v>12</v>
      </c>
      <c r="D223" t="s">
        <v>13</v>
      </c>
      <c r="F223">
        <v>1000</v>
      </c>
      <c r="G223">
        <v>1054</v>
      </c>
      <c r="H223">
        <v>922</v>
      </c>
      <c r="I223">
        <v>1011</v>
      </c>
    </row>
    <row r="224" spans="1:10">
      <c r="A224" t="s">
        <v>195</v>
      </c>
      <c r="C224" t="s">
        <v>26</v>
      </c>
      <c r="D224" t="s">
        <v>27</v>
      </c>
      <c r="E224" t="s">
        <v>28</v>
      </c>
      <c r="J224">
        <v>250000</v>
      </c>
    </row>
    <row r="225" spans="1:10">
      <c r="A225" t="s">
        <v>196</v>
      </c>
      <c r="B225" t="s">
        <v>15</v>
      </c>
      <c r="C225" t="s">
        <v>43</v>
      </c>
      <c r="D225" t="s">
        <v>44</v>
      </c>
      <c r="F225">
        <v>3500</v>
      </c>
      <c r="G225">
        <v>3517</v>
      </c>
      <c r="H225">
        <v>3462</v>
      </c>
      <c r="I225">
        <v>3491</v>
      </c>
      <c r="J225" t="s">
        <v>19</v>
      </c>
    </row>
    <row r="226" spans="1:10">
      <c r="A226" t="s">
        <v>197</v>
      </c>
      <c r="B226" t="s">
        <v>21</v>
      </c>
      <c r="C226" t="s">
        <v>26</v>
      </c>
      <c r="D226" t="s">
        <v>27</v>
      </c>
      <c r="E226" t="s">
        <v>51</v>
      </c>
      <c r="F226">
        <v>1000</v>
      </c>
      <c r="G226">
        <v>1036</v>
      </c>
      <c r="H226">
        <v>932</v>
      </c>
      <c r="I226">
        <v>953</v>
      </c>
    </row>
    <row r="227" spans="1:10">
      <c r="A227" t="s">
        <v>197</v>
      </c>
      <c r="B227" t="s">
        <v>11</v>
      </c>
      <c r="C227" t="s">
        <v>16</v>
      </c>
      <c r="D227" t="s">
        <v>17</v>
      </c>
      <c r="E227" t="s">
        <v>30</v>
      </c>
      <c r="F227">
        <v>3500</v>
      </c>
      <c r="G227">
        <v>3565</v>
      </c>
      <c r="H227">
        <v>3452</v>
      </c>
      <c r="I227">
        <v>3529</v>
      </c>
      <c r="J227">
        <v>250000</v>
      </c>
    </row>
    <row r="228" spans="1:10">
      <c r="A228" t="s">
        <v>198</v>
      </c>
      <c r="B228" t="s">
        <v>21</v>
      </c>
      <c r="C228" t="s">
        <v>43</v>
      </c>
      <c r="D228" t="s">
        <v>44</v>
      </c>
      <c r="F228">
        <v>3500</v>
      </c>
      <c r="G228">
        <v>3574</v>
      </c>
      <c r="H228">
        <v>3488</v>
      </c>
      <c r="I228">
        <v>3483</v>
      </c>
      <c r="J228" t="s">
        <v>19</v>
      </c>
    </row>
    <row r="229" spans="1:10">
      <c r="A229" t="s">
        <v>199</v>
      </c>
      <c r="C229" t="s">
        <v>16</v>
      </c>
      <c r="D229" t="s">
        <v>17</v>
      </c>
      <c r="E229" t="s">
        <v>30</v>
      </c>
      <c r="J229" t="s">
        <v>19</v>
      </c>
    </row>
    <row r="230" spans="1:10">
      <c r="A230" t="s">
        <v>200</v>
      </c>
      <c r="B230" t="s">
        <v>11</v>
      </c>
      <c r="C230" t="s">
        <v>12</v>
      </c>
      <c r="D230" t="s">
        <v>13</v>
      </c>
      <c r="F230">
        <v>2500</v>
      </c>
      <c r="G230">
        <v>2568</v>
      </c>
      <c r="H230">
        <v>2459</v>
      </c>
      <c r="I230">
        <v>2461</v>
      </c>
      <c r="J230" t="s">
        <v>19</v>
      </c>
    </row>
    <row r="231" spans="1:10">
      <c r="A231" t="s">
        <v>201</v>
      </c>
      <c r="B231" t="s">
        <v>11</v>
      </c>
      <c r="C231" t="s">
        <v>16</v>
      </c>
      <c r="D231" t="s">
        <v>17</v>
      </c>
      <c r="F231">
        <v>3500</v>
      </c>
      <c r="G231">
        <v>3551</v>
      </c>
      <c r="H231">
        <v>3445</v>
      </c>
      <c r="I231">
        <v>3497</v>
      </c>
      <c r="J231">
        <v>250000</v>
      </c>
    </row>
    <row r="232" spans="1:10">
      <c r="A232" t="s">
        <v>201</v>
      </c>
      <c r="B232" t="s">
        <v>15</v>
      </c>
      <c r="C232" t="s">
        <v>43</v>
      </c>
      <c r="D232" t="s">
        <v>44</v>
      </c>
      <c r="E232" t="s">
        <v>23</v>
      </c>
      <c r="F232">
        <v>3500</v>
      </c>
      <c r="G232">
        <v>3520</v>
      </c>
      <c r="H232">
        <v>3430</v>
      </c>
      <c r="I232">
        <v>3483</v>
      </c>
    </row>
    <row r="233" spans="1:10">
      <c r="A233" t="s">
        <v>202</v>
      </c>
      <c r="B233" t="s">
        <v>11</v>
      </c>
      <c r="C233" t="s">
        <v>26</v>
      </c>
      <c r="D233" t="s">
        <v>27</v>
      </c>
      <c r="E233" t="s">
        <v>51</v>
      </c>
      <c r="J233">
        <v>250000</v>
      </c>
    </row>
    <row r="234" spans="1:10">
      <c r="A234" t="s">
        <v>203</v>
      </c>
      <c r="B234" t="s">
        <v>11</v>
      </c>
      <c r="C234" t="s">
        <v>22</v>
      </c>
      <c r="D234" t="s">
        <v>22</v>
      </c>
      <c r="E234" t="s">
        <v>23</v>
      </c>
      <c r="F234">
        <v>3500</v>
      </c>
      <c r="G234">
        <v>3578</v>
      </c>
      <c r="H234">
        <v>3425</v>
      </c>
      <c r="I234">
        <v>3463</v>
      </c>
      <c r="J234">
        <v>250000</v>
      </c>
    </row>
    <row r="235" spans="1:10">
      <c r="A235" t="s">
        <v>203</v>
      </c>
      <c r="C235" t="s">
        <v>12</v>
      </c>
      <c r="D235" t="s">
        <v>13</v>
      </c>
      <c r="E235" t="s">
        <v>39</v>
      </c>
      <c r="F235">
        <v>2500</v>
      </c>
      <c r="G235">
        <v>2579</v>
      </c>
      <c r="H235">
        <v>2426</v>
      </c>
      <c r="I235">
        <v>2550</v>
      </c>
      <c r="J235">
        <v>100000</v>
      </c>
    </row>
    <row r="236" spans="1:10">
      <c r="A236" t="s">
        <v>204</v>
      </c>
      <c r="C236" t="s">
        <v>12</v>
      </c>
      <c r="D236" t="s">
        <v>13</v>
      </c>
      <c r="F236">
        <v>1000</v>
      </c>
      <c r="G236">
        <v>1027</v>
      </c>
      <c r="H236">
        <v>944</v>
      </c>
      <c r="I236">
        <v>1049</v>
      </c>
      <c r="J236">
        <v>250000</v>
      </c>
    </row>
    <row r="237" spans="1:10">
      <c r="A237" t="s">
        <v>205</v>
      </c>
      <c r="B237" t="s">
        <v>11</v>
      </c>
      <c r="C237" t="s">
        <v>16</v>
      </c>
      <c r="D237" t="s">
        <v>17</v>
      </c>
      <c r="J237">
        <v>250000</v>
      </c>
    </row>
    <row r="238" spans="1:10">
      <c r="A238" t="s">
        <v>206</v>
      </c>
      <c r="C238" t="s">
        <v>22</v>
      </c>
      <c r="D238" t="s">
        <v>22</v>
      </c>
      <c r="F238">
        <v>1000</v>
      </c>
      <c r="G238">
        <v>1019</v>
      </c>
      <c r="H238">
        <v>955</v>
      </c>
      <c r="I238">
        <v>997</v>
      </c>
      <c r="J238">
        <v>250000</v>
      </c>
    </row>
    <row r="239" spans="1:10">
      <c r="A239" t="s">
        <v>206</v>
      </c>
      <c r="B239" t="s">
        <v>15</v>
      </c>
      <c r="C239" t="s">
        <v>22</v>
      </c>
      <c r="D239" t="s">
        <v>22</v>
      </c>
      <c r="E239" t="s">
        <v>23</v>
      </c>
      <c r="F239">
        <v>1000</v>
      </c>
      <c r="G239">
        <v>1044</v>
      </c>
      <c r="H239">
        <v>969</v>
      </c>
      <c r="I239">
        <v>958</v>
      </c>
      <c r="J239">
        <v>100000</v>
      </c>
    </row>
    <row r="240" spans="1:10">
      <c r="A240" t="s">
        <v>207</v>
      </c>
      <c r="C240" t="s">
        <v>12</v>
      </c>
      <c r="D240" t="s">
        <v>13</v>
      </c>
      <c r="F240">
        <v>2500</v>
      </c>
      <c r="G240">
        <v>2577</v>
      </c>
      <c r="H240">
        <v>2426</v>
      </c>
      <c r="I240">
        <v>2527</v>
      </c>
      <c r="J240">
        <v>250000</v>
      </c>
    </row>
    <row r="241" spans="1:10">
      <c r="A241" t="s">
        <v>208</v>
      </c>
      <c r="B241" t="s">
        <v>21</v>
      </c>
      <c r="C241" t="s">
        <v>12</v>
      </c>
      <c r="D241" t="s">
        <v>13</v>
      </c>
      <c r="E241" t="s">
        <v>37</v>
      </c>
      <c r="F241">
        <v>3500</v>
      </c>
      <c r="G241">
        <v>3544</v>
      </c>
      <c r="H241">
        <v>3442</v>
      </c>
      <c r="I241">
        <v>3465</v>
      </c>
      <c r="J241" t="s">
        <v>19</v>
      </c>
    </row>
    <row r="242" spans="1:10">
      <c r="A242" t="s">
        <v>209</v>
      </c>
      <c r="B242" t="s">
        <v>11</v>
      </c>
      <c r="C242" t="s">
        <v>26</v>
      </c>
      <c r="D242" t="s">
        <v>27</v>
      </c>
      <c r="E242" t="s">
        <v>51</v>
      </c>
      <c r="F242">
        <v>1000</v>
      </c>
      <c r="G242">
        <v>1032</v>
      </c>
      <c r="H242">
        <v>986</v>
      </c>
      <c r="I242">
        <v>983</v>
      </c>
    </row>
    <row r="243" spans="1:10">
      <c r="A243" t="s">
        <v>209</v>
      </c>
      <c r="B243" t="s">
        <v>11</v>
      </c>
      <c r="C243" t="s">
        <v>16</v>
      </c>
      <c r="D243" t="s">
        <v>17</v>
      </c>
      <c r="E243" t="s">
        <v>30</v>
      </c>
      <c r="F243">
        <v>2500</v>
      </c>
      <c r="G243">
        <v>2574</v>
      </c>
      <c r="H243">
        <v>2481</v>
      </c>
      <c r="I243">
        <v>2508</v>
      </c>
      <c r="J243">
        <v>250000</v>
      </c>
    </row>
    <row r="244" spans="1:10">
      <c r="A244" t="s">
        <v>210</v>
      </c>
      <c r="B244" t="s">
        <v>21</v>
      </c>
      <c r="C244" t="s">
        <v>22</v>
      </c>
      <c r="D244" t="s">
        <v>22</v>
      </c>
      <c r="E244" t="s">
        <v>23</v>
      </c>
      <c r="F244">
        <v>3500</v>
      </c>
      <c r="G244">
        <v>3519</v>
      </c>
      <c r="H244">
        <v>3469</v>
      </c>
      <c r="I244">
        <v>3550</v>
      </c>
      <c r="J244">
        <v>100000</v>
      </c>
    </row>
    <row r="245" spans="1:10">
      <c r="A245" t="s">
        <v>211</v>
      </c>
      <c r="C245" t="s">
        <v>43</v>
      </c>
      <c r="D245" t="s">
        <v>44</v>
      </c>
      <c r="F245">
        <v>1000</v>
      </c>
      <c r="G245">
        <v>1045</v>
      </c>
      <c r="H245">
        <v>987</v>
      </c>
      <c r="I245">
        <v>950</v>
      </c>
    </row>
    <row r="246" spans="1:10">
      <c r="A246" t="s">
        <v>211</v>
      </c>
      <c r="B246" t="s">
        <v>11</v>
      </c>
      <c r="C246" t="s">
        <v>43</v>
      </c>
      <c r="D246" t="s">
        <v>44</v>
      </c>
      <c r="E246" t="s">
        <v>23</v>
      </c>
      <c r="F246">
        <v>2500</v>
      </c>
      <c r="G246">
        <v>2516</v>
      </c>
      <c r="H246">
        <v>2439</v>
      </c>
      <c r="I246">
        <v>2451</v>
      </c>
      <c r="J246" t="s">
        <v>19</v>
      </c>
    </row>
    <row r="247" spans="1:10">
      <c r="A247" t="s">
        <v>212</v>
      </c>
      <c r="B247" t="s">
        <v>21</v>
      </c>
      <c r="C247" t="s">
        <v>12</v>
      </c>
      <c r="D247" t="s">
        <v>13</v>
      </c>
      <c r="E247" t="s">
        <v>39</v>
      </c>
      <c r="F247">
        <v>3500</v>
      </c>
      <c r="G247">
        <v>3599</v>
      </c>
      <c r="H247">
        <v>3460</v>
      </c>
      <c r="I247">
        <v>3502</v>
      </c>
    </row>
    <row r="248" spans="1:10">
      <c r="A248" t="s">
        <v>213</v>
      </c>
      <c r="C248" t="s">
        <v>26</v>
      </c>
      <c r="D248" t="s">
        <v>27</v>
      </c>
      <c r="J248">
        <v>100000</v>
      </c>
    </row>
    <row r="249" spans="1:10">
      <c r="A249" t="s">
        <v>213</v>
      </c>
      <c r="B249" t="s">
        <v>15</v>
      </c>
      <c r="C249" t="s">
        <v>22</v>
      </c>
      <c r="D249" t="s">
        <v>22</v>
      </c>
      <c r="J249" t="s">
        <v>19</v>
      </c>
    </row>
    <row r="250" spans="1:10">
      <c r="A250" t="s">
        <v>214</v>
      </c>
      <c r="B250" t="s">
        <v>21</v>
      </c>
      <c r="C250" t="s">
        <v>12</v>
      </c>
      <c r="D250" t="s">
        <v>13</v>
      </c>
      <c r="E250" t="s">
        <v>37</v>
      </c>
      <c r="F250">
        <v>2500</v>
      </c>
      <c r="G250">
        <v>2556</v>
      </c>
      <c r="H250">
        <v>2444</v>
      </c>
      <c r="I250">
        <v>2481</v>
      </c>
      <c r="J250" t="s">
        <v>19</v>
      </c>
    </row>
    <row r="251" spans="1:10">
      <c r="A251" t="s">
        <v>215</v>
      </c>
      <c r="B251" t="s">
        <v>11</v>
      </c>
      <c r="C251" t="s">
        <v>16</v>
      </c>
      <c r="D251" t="s">
        <v>17</v>
      </c>
      <c r="F251">
        <v>1000</v>
      </c>
      <c r="G251">
        <v>1070</v>
      </c>
      <c r="H251">
        <v>923</v>
      </c>
      <c r="I251">
        <v>973</v>
      </c>
      <c r="J251" t="s">
        <v>19</v>
      </c>
    </row>
    <row r="252" spans="1:10">
      <c r="A252" t="s">
        <v>216</v>
      </c>
      <c r="C252" t="s">
        <v>26</v>
      </c>
      <c r="D252" t="s">
        <v>27</v>
      </c>
      <c r="E252" t="s">
        <v>28</v>
      </c>
      <c r="F252">
        <v>3500</v>
      </c>
      <c r="G252">
        <v>3547</v>
      </c>
      <c r="H252">
        <v>3481</v>
      </c>
      <c r="I252">
        <v>3542</v>
      </c>
      <c r="J252">
        <v>250000</v>
      </c>
    </row>
    <row r="253" spans="1:10">
      <c r="A253" t="s">
        <v>217</v>
      </c>
      <c r="B253" t="s">
        <v>21</v>
      </c>
      <c r="C253" t="s">
        <v>16</v>
      </c>
      <c r="D253" t="s">
        <v>17</v>
      </c>
      <c r="F253">
        <v>1000</v>
      </c>
      <c r="G253">
        <v>1020</v>
      </c>
      <c r="H253">
        <v>989</v>
      </c>
      <c r="I253">
        <v>999</v>
      </c>
      <c r="J253">
        <v>100000</v>
      </c>
    </row>
    <row r="254" spans="1:10">
      <c r="A254" t="s">
        <v>218</v>
      </c>
      <c r="C254" t="s">
        <v>16</v>
      </c>
      <c r="D254" t="s">
        <v>17</v>
      </c>
      <c r="J254" t="s">
        <v>19</v>
      </c>
    </row>
    <row r="255" spans="1:10">
      <c r="A255" t="s">
        <v>218</v>
      </c>
      <c r="B255" t="s">
        <v>11</v>
      </c>
      <c r="C255" t="s">
        <v>16</v>
      </c>
      <c r="D255" t="s">
        <v>17</v>
      </c>
      <c r="F255">
        <v>2500</v>
      </c>
      <c r="G255">
        <v>2532</v>
      </c>
      <c r="H255">
        <v>2436</v>
      </c>
      <c r="I255">
        <v>2491</v>
      </c>
      <c r="J255">
        <v>100000</v>
      </c>
    </row>
    <row r="256" spans="1:10">
      <c r="A256" t="s">
        <v>219</v>
      </c>
      <c r="C256" t="s">
        <v>16</v>
      </c>
      <c r="D256" t="s">
        <v>17</v>
      </c>
    </row>
    <row r="257" spans="1:10">
      <c r="A257" t="s">
        <v>220</v>
      </c>
      <c r="B257" t="s">
        <v>21</v>
      </c>
      <c r="C257" t="s">
        <v>16</v>
      </c>
      <c r="D257" t="s">
        <v>17</v>
      </c>
      <c r="E257" t="s">
        <v>30</v>
      </c>
      <c r="F257">
        <v>3500</v>
      </c>
      <c r="G257">
        <v>3557</v>
      </c>
      <c r="H257">
        <v>3476</v>
      </c>
      <c r="I257">
        <v>3494</v>
      </c>
      <c r="J257">
        <v>250000</v>
      </c>
    </row>
    <row r="258" spans="1:10">
      <c r="A258" t="s">
        <v>220</v>
      </c>
      <c r="B258" t="s">
        <v>21</v>
      </c>
      <c r="C258" t="s">
        <v>43</v>
      </c>
      <c r="D258" t="s">
        <v>44</v>
      </c>
      <c r="E258" t="s">
        <v>23</v>
      </c>
      <c r="F258">
        <v>1000</v>
      </c>
      <c r="G258">
        <v>1062</v>
      </c>
      <c r="H258">
        <v>932</v>
      </c>
      <c r="I258">
        <v>986</v>
      </c>
    </row>
    <row r="259" spans="1:10">
      <c r="A259" t="s">
        <v>221</v>
      </c>
      <c r="B259" t="s">
        <v>21</v>
      </c>
      <c r="C259" t="s">
        <v>43</v>
      </c>
      <c r="D259" t="s">
        <v>44</v>
      </c>
      <c r="F259">
        <v>2500</v>
      </c>
      <c r="G259">
        <v>2532</v>
      </c>
      <c r="H259">
        <v>2458</v>
      </c>
      <c r="I259">
        <v>2525</v>
      </c>
    </row>
    <row r="260" spans="1:10">
      <c r="A260" t="s">
        <v>222</v>
      </c>
      <c r="B260" t="s">
        <v>21</v>
      </c>
      <c r="C260" t="s">
        <v>26</v>
      </c>
      <c r="D260" t="s">
        <v>27</v>
      </c>
      <c r="E260" t="s">
        <v>28</v>
      </c>
      <c r="F260">
        <v>1000</v>
      </c>
      <c r="G260">
        <v>1057</v>
      </c>
      <c r="H260">
        <v>989</v>
      </c>
      <c r="I260">
        <v>1006</v>
      </c>
    </row>
    <row r="261" spans="1:10">
      <c r="A261" t="s">
        <v>223</v>
      </c>
      <c r="B261" t="s">
        <v>15</v>
      </c>
      <c r="C261" t="s">
        <v>22</v>
      </c>
      <c r="D261" t="s">
        <v>22</v>
      </c>
      <c r="J261">
        <v>100000</v>
      </c>
    </row>
    <row r="262" spans="1:10">
      <c r="A262" t="s">
        <v>224</v>
      </c>
      <c r="B262" t="s">
        <v>15</v>
      </c>
      <c r="C262" t="s">
        <v>22</v>
      </c>
      <c r="D262" t="s">
        <v>22</v>
      </c>
      <c r="F262">
        <v>3500</v>
      </c>
      <c r="G262">
        <v>3580</v>
      </c>
      <c r="H262">
        <v>3427</v>
      </c>
      <c r="I262">
        <v>3455</v>
      </c>
      <c r="J262" t="s">
        <v>19</v>
      </c>
    </row>
    <row r="263" spans="1:10">
      <c r="A263" t="s">
        <v>224</v>
      </c>
      <c r="B263" t="s">
        <v>15</v>
      </c>
      <c r="C263" t="s">
        <v>26</v>
      </c>
      <c r="D263" t="s">
        <v>27</v>
      </c>
      <c r="E263" t="s">
        <v>51</v>
      </c>
      <c r="F263">
        <v>1000</v>
      </c>
      <c r="G263">
        <v>1050</v>
      </c>
      <c r="H263">
        <v>977</v>
      </c>
      <c r="I263">
        <v>951</v>
      </c>
      <c r="J263">
        <v>250000</v>
      </c>
    </row>
    <row r="264" spans="1:10">
      <c r="A264" t="s">
        <v>225</v>
      </c>
      <c r="B264" t="s">
        <v>11</v>
      </c>
      <c r="C264" t="s">
        <v>22</v>
      </c>
      <c r="D264" t="s">
        <v>22</v>
      </c>
      <c r="E264" t="s">
        <v>23</v>
      </c>
      <c r="F264">
        <v>1000</v>
      </c>
      <c r="G264">
        <v>1047</v>
      </c>
      <c r="H264">
        <v>926</v>
      </c>
      <c r="I264">
        <v>1037</v>
      </c>
    </row>
    <row r="265" spans="1:10">
      <c r="A265" t="s">
        <v>225</v>
      </c>
      <c r="B265" t="s">
        <v>11</v>
      </c>
      <c r="C265" t="s">
        <v>26</v>
      </c>
      <c r="D265" t="s">
        <v>27</v>
      </c>
      <c r="E265" t="s">
        <v>28</v>
      </c>
      <c r="F265">
        <v>3500</v>
      </c>
      <c r="G265">
        <v>3569</v>
      </c>
      <c r="H265">
        <v>3450</v>
      </c>
      <c r="I265">
        <v>3453</v>
      </c>
      <c r="J265" t="s">
        <v>19</v>
      </c>
    </row>
    <row r="266" spans="1:10">
      <c r="A266" t="s">
        <v>226</v>
      </c>
      <c r="B266" t="s">
        <v>11</v>
      </c>
      <c r="C266" t="s">
        <v>22</v>
      </c>
      <c r="D266" t="s">
        <v>22</v>
      </c>
      <c r="J266">
        <v>250000</v>
      </c>
    </row>
    <row r="267" spans="1:10">
      <c r="A267" t="s">
        <v>227</v>
      </c>
      <c r="B267" t="s">
        <v>11</v>
      </c>
      <c r="C267" t="s">
        <v>12</v>
      </c>
      <c r="D267" t="s">
        <v>13</v>
      </c>
      <c r="F267">
        <v>1000</v>
      </c>
      <c r="G267">
        <v>1068</v>
      </c>
      <c r="H267">
        <v>954</v>
      </c>
      <c r="I267">
        <v>1037</v>
      </c>
      <c r="J267">
        <v>100000</v>
      </c>
    </row>
    <row r="268" spans="1:10">
      <c r="A268" t="s">
        <v>228</v>
      </c>
      <c r="B268" t="s">
        <v>11</v>
      </c>
      <c r="C268" t="s">
        <v>16</v>
      </c>
      <c r="D268" t="s">
        <v>17</v>
      </c>
      <c r="E268" t="s">
        <v>30</v>
      </c>
      <c r="F268">
        <v>3500</v>
      </c>
      <c r="G268">
        <v>3554</v>
      </c>
      <c r="H268">
        <v>3437</v>
      </c>
      <c r="I268">
        <v>3509</v>
      </c>
      <c r="J268">
        <v>100000</v>
      </c>
    </row>
    <row r="269" spans="1:10">
      <c r="A269" t="s">
        <v>229</v>
      </c>
      <c r="B269" t="s">
        <v>15</v>
      </c>
      <c r="C269" t="s">
        <v>12</v>
      </c>
      <c r="D269" t="s">
        <v>13</v>
      </c>
      <c r="E269" t="s">
        <v>37</v>
      </c>
      <c r="F269">
        <v>2500</v>
      </c>
      <c r="G269">
        <v>2525</v>
      </c>
      <c r="H269">
        <v>2429</v>
      </c>
      <c r="I269">
        <v>2483</v>
      </c>
    </row>
    <row r="270" spans="1:10">
      <c r="A270" t="s">
        <v>229</v>
      </c>
      <c r="B270" t="s">
        <v>21</v>
      </c>
      <c r="C270" t="s">
        <v>22</v>
      </c>
      <c r="D270" t="s">
        <v>22</v>
      </c>
      <c r="F270">
        <v>3500</v>
      </c>
      <c r="G270">
        <v>3527</v>
      </c>
      <c r="H270">
        <v>3463</v>
      </c>
      <c r="I270">
        <v>3529</v>
      </c>
    </row>
    <row r="271" spans="1:10">
      <c r="A271" t="s">
        <v>230</v>
      </c>
      <c r="B271" t="s">
        <v>11</v>
      </c>
      <c r="C271" t="s">
        <v>26</v>
      </c>
      <c r="D271" t="s">
        <v>27</v>
      </c>
      <c r="F271">
        <v>2500</v>
      </c>
      <c r="G271">
        <v>2596</v>
      </c>
      <c r="H271">
        <v>2482</v>
      </c>
      <c r="I271">
        <v>2516</v>
      </c>
      <c r="J271">
        <v>100000</v>
      </c>
    </row>
    <row r="272" spans="1:10">
      <c r="A272" t="s">
        <v>231</v>
      </c>
      <c r="C272" t="s">
        <v>43</v>
      </c>
      <c r="D272" t="s">
        <v>44</v>
      </c>
    </row>
    <row r="273" spans="1:10">
      <c r="A273" t="s">
        <v>232</v>
      </c>
      <c r="C273" t="s">
        <v>16</v>
      </c>
      <c r="D273" t="s">
        <v>17</v>
      </c>
      <c r="E273" t="s">
        <v>30</v>
      </c>
      <c r="F273">
        <v>1000</v>
      </c>
      <c r="G273">
        <v>1040</v>
      </c>
      <c r="H273">
        <v>952</v>
      </c>
      <c r="I273">
        <v>1000</v>
      </c>
      <c r="J273">
        <v>100000</v>
      </c>
    </row>
    <row r="274" spans="1:10">
      <c r="A274" t="s">
        <v>232</v>
      </c>
      <c r="B274" t="s">
        <v>11</v>
      </c>
      <c r="C274" t="s">
        <v>26</v>
      </c>
      <c r="D274" t="s">
        <v>27</v>
      </c>
      <c r="F274">
        <v>3500</v>
      </c>
      <c r="G274">
        <v>3518</v>
      </c>
      <c r="H274">
        <v>3484</v>
      </c>
      <c r="I274">
        <v>3516</v>
      </c>
      <c r="J274" t="s">
        <v>19</v>
      </c>
    </row>
    <row r="275" spans="1:10">
      <c r="A275" t="s">
        <v>233</v>
      </c>
      <c r="B275" t="s">
        <v>21</v>
      </c>
      <c r="C275" t="s">
        <v>43</v>
      </c>
      <c r="D275" t="s">
        <v>44</v>
      </c>
      <c r="E275" t="s">
        <v>23</v>
      </c>
      <c r="J275">
        <v>100000</v>
      </c>
    </row>
    <row r="276" spans="1:10">
      <c r="A276" t="s">
        <v>234</v>
      </c>
      <c r="B276" t="s">
        <v>21</v>
      </c>
      <c r="C276" t="s">
        <v>12</v>
      </c>
      <c r="D276" t="s">
        <v>13</v>
      </c>
      <c r="E276" t="s">
        <v>39</v>
      </c>
      <c r="J276">
        <v>250000</v>
      </c>
    </row>
    <row r="277" spans="1:10">
      <c r="A277" t="s">
        <v>235</v>
      </c>
      <c r="B277" t="s">
        <v>11</v>
      </c>
      <c r="C277" t="s">
        <v>43</v>
      </c>
      <c r="D277" t="s">
        <v>44</v>
      </c>
      <c r="E277" t="s">
        <v>23</v>
      </c>
      <c r="J277">
        <v>250000</v>
      </c>
    </row>
    <row r="278" spans="1:10">
      <c r="A278" t="s">
        <v>236</v>
      </c>
      <c r="B278" t="s">
        <v>15</v>
      </c>
      <c r="C278" t="s">
        <v>12</v>
      </c>
      <c r="D278" t="s">
        <v>13</v>
      </c>
      <c r="F278">
        <v>2500</v>
      </c>
      <c r="G278">
        <v>2526</v>
      </c>
      <c r="H278">
        <v>2448</v>
      </c>
      <c r="I278">
        <v>2501</v>
      </c>
    </row>
    <row r="279" spans="1:10">
      <c r="A279" t="s">
        <v>237</v>
      </c>
      <c r="B279" t="s">
        <v>15</v>
      </c>
      <c r="C279" t="s">
        <v>12</v>
      </c>
      <c r="D279" t="s">
        <v>13</v>
      </c>
      <c r="E279" t="s">
        <v>39</v>
      </c>
      <c r="F279">
        <v>3500</v>
      </c>
      <c r="G279">
        <v>3539</v>
      </c>
      <c r="H279">
        <v>3490</v>
      </c>
      <c r="I279">
        <v>3519</v>
      </c>
    </row>
    <row r="280" spans="1:10">
      <c r="A280" t="s">
        <v>237</v>
      </c>
      <c r="C280" t="s">
        <v>43</v>
      </c>
      <c r="D280" t="s">
        <v>44</v>
      </c>
      <c r="J280">
        <v>100000</v>
      </c>
    </row>
    <row r="281" spans="1:10">
      <c r="A281" t="s">
        <v>238</v>
      </c>
      <c r="C281" t="s">
        <v>43</v>
      </c>
      <c r="D281" t="s">
        <v>44</v>
      </c>
      <c r="E281" t="s">
        <v>23</v>
      </c>
      <c r="F281">
        <v>2500</v>
      </c>
      <c r="G281">
        <v>2569</v>
      </c>
      <c r="H281">
        <v>2424</v>
      </c>
      <c r="I281">
        <v>2543</v>
      </c>
      <c r="J281">
        <v>250000</v>
      </c>
    </row>
    <row r="282" spans="1:10">
      <c r="A282" t="s">
        <v>239</v>
      </c>
      <c r="B282" t="s">
        <v>21</v>
      </c>
      <c r="C282" t="s">
        <v>12</v>
      </c>
      <c r="D282" t="s">
        <v>13</v>
      </c>
      <c r="E282" t="s">
        <v>39</v>
      </c>
      <c r="F282">
        <v>1000</v>
      </c>
      <c r="G282">
        <v>1080</v>
      </c>
      <c r="H282">
        <v>982</v>
      </c>
      <c r="I282">
        <v>1020</v>
      </c>
      <c r="J282" t="s">
        <v>19</v>
      </c>
    </row>
    <row r="283" spans="1:10">
      <c r="A283" t="s">
        <v>240</v>
      </c>
      <c r="C283" t="s">
        <v>16</v>
      </c>
      <c r="D283" t="s">
        <v>17</v>
      </c>
      <c r="E283" t="s">
        <v>30</v>
      </c>
      <c r="F283">
        <v>2500</v>
      </c>
      <c r="G283">
        <v>2579</v>
      </c>
      <c r="H283">
        <v>2452</v>
      </c>
      <c r="I283">
        <v>2492</v>
      </c>
    </row>
    <row r="284" spans="1:10">
      <c r="A284" t="s">
        <v>240</v>
      </c>
      <c r="B284" t="s">
        <v>15</v>
      </c>
      <c r="C284" t="s">
        <v>22</v>
      </c>
      <c r="D284" t="s">
        <v>22</v>
      </c>
      <c r="E284" t="s">
        <v>23</v>
      </c>
      <c r="J284">
        <v>250000</v>
      </c>
    </row>
    <row r="285" spans="1:10">
      <c r="A285" t="s">
        <v>241</v>
      </c>
      <c r="B285" t="s">
        <v>21</v>
      </c>
      <c r="C285" t="s">
        <v>43</v>
      </c>
      <c r="D285" t="s">
        <v>44</v>
      </c>
      <c r="E285" t="s">
        <v>23</v>
      </c>
      <c r="J285" t="s">
        <v>19</v>
      </c>
    </row>
    <row r="286" spans="1:10">
      <c r="A286" t="s">
        <v>242</v>
      </c>
      <c r="B286" t="s">
        <v>11</v>
      </c>
      <c r="C286" t="s">
        <v>43</v>
      </c>
      <c r="D286" t="s">
        <v>44</v>
      </c>
      <c r="E286" t="s">
        <v>23</v>
      </c>
      <c r="F286">
        <v>2500</v>
      </c>
      <c r="G286">
        <v>2584</v>
      </c>
      <c r="H286">
        <v>2453</v>
      </c>
      <c r="I286">
        <v>2497</v>
      </c>
      <c r="J286" t="s">
        <v>19</v>
      </c>
    </row>
    <row r="287" spans="1:10">
      <c r="A287" t="s">
        <v>242</v>
      </c>
      <c r="B287" t="s">
        <v>11</v>
      </c>
      <c r="C287" t="s">
        <v>43</v>
      </c>
      <c r="D287" t="s">
        <v>44</v>
      </c>
      <c r="F287">
        <v>1000</v>
      </c>
      <c r="G287">
        <v>1033</v>
      </c>
      <c r="H287">
        <v>958</v>
      </c>
      <c r="I287">
        <v>963</v>
      </c>
      <c r="J287">
        <v>250000</v>
      </c>
    </row>
    <row r="288" spans="1:10">
      <c r="A288" t="s">
        <v>243</v>
      </c>
      <c r="C288" t="s">
        <v>26</v>
      </c>
      <c r="D288" t="s">
        <v>27</v>
      </c>
      <c r="F288">
        <v>3500</v>
      </c>
      <c r="G288">
        <v>3522</v>
      </c>
      <c r="H288">
        <v>3421</v>
      </c>
      <c r="I288">
        <v>3485</v>
      </c>
      <c r="J288">
        <v>250000</v>
      </c>
    </row>
    <row r="289" spans="1:10">
      <c r="A289" t="s">
        <v>243</v>
      </c>
      <c r="B289" t="s">
        <v>11</v>
      </c>
      <c r="C289" t="s">
        <v>26</v>
      </c>
      <c r="D289" t="s">
        <v>27</v>
      </c>
      <c r="E289" t="s">
        <v>28</v>
      </c>
      <c r="F289">
        <v>3500</v>
      </c>
      <c r="G289">
        <v>3529</v>
      </c>
      <c r="H289">
        <v>3424</v>
      </c>
      <c r="I289">
        <v>3542</v>
      </c>
      <c r="J289" t="s">
        <v>19</v>
      </c>
    </row>
    <row r="290" spans="1:10">
      <c r="A290" t="s">
        <v>244</v>
      </c>
      <c r="B290" t="s">
        <v>21</v>
      </c>
      <c r="C290" t="s">
        <v>12</v>
      </c>
      <c r="D290" t="s">
        <v>13</v>
      </c>
      <c r="F290">
        <v>2500</v>
      </c>
      <c r="G290">
        <v>2574</v>
      </c>
      <c r="H290">
        <v>2454</v>
      </c>
      <c r="I290">
        <v>2511</v>
      </c>
      <c r="J290">
        <v>250000</v>
      </c>
    </row>
    <row r="291" spans="1:10">
      <c r="A291" t="s">
        <v>245</v>
      </c>
      <c r="C291" t="s">
        <v>26</v>
      </c>
      <c r="D291" t="s">
        <v>27</v>
      </c>
      <c r="F291">
        <v>2500</v>
      </c>
      <c r="G291">
        <v>2556</v>
      </c>
      <c r="H291">
        <v>2445</v>
      </c>
      <c r="I291">
        <v>2547</v>
      </c>
      <c r="J291" t="s">
        <v>19</v>
      </c>
    </row>
    <row r="292" spans="1:10">
      <c r="A292" t="s">
        <v>246</v>
      </c>
      <c r="B292" t="s">
        <v>15</v>
      </c>
      <c r="C292" t="s">
        <v>12</v>
      </c>
      <c r="D292" t="s">
        <v>13</v>
      </c>
      <c r="E292" t="s">
        <v>37</v>
      </c>
      <c r="F292">
        <v>3500</v>
      </c>
      <c r="G292">
        <v>3566</v>
      </c>
      <c r="H292">
        <v>3459</v>
      </c>
      <c r="I292">
        <v>3463</v>
      </c>
      <c r="J292" t="s">
        <v>19</v>
      </c>
    </row>
    <row r="293" spans="1:10">
      <c r="A293" t="s">
        <v>247</v>
      </c>
      <c r="B293" t="s">
        <v>11</v>
      </c>
      <c r="C293" t="s">
        <v>26</v>
      </c>
      <c r="D293" t="s">
        <v>27</v>
      </c>
      <c r="F293">
        <v>3500</v>
      </c>
      <c r="G293">
        <v>3599</v>
      </c>
      <c r="H293">
        <v>3464</v>
      </c>
      <c r="I293">
        <v>3518</v>
      </c>
    </row>
    <row r="294" spans="1:10">
      <c r="A294" t="s">
        <v>248</v>
      </c>
      <c r="C294" t="s">
        <v>16</v>
      </c>
      <c r="D294" t="s">
        <v>17</v>
      </c>
      <c r="E294" t="s">
        <v>18</v>
      </c>
      <c r="F294">
        <v>3500</v>
      </c>
      <c r="G294">
        <v>3588</v>
      </c>
      <c r="H294">
        <v>3475</v>
      </c>
      <c r="I294">
        <v>3450</v>
      </c>
      <c r="J294" t="s">
        <v>19</v>
      </c>
    </row>
    <row r="295" spans="1:10">
      <c r="A295" t="s">
        <v>248</v>
      </c>
      <c r="C295" t="s">
        <v>16</v>
      </c>
      <c r="D295" t="s">
        <v>17</v>
      </c>
      <c r="F295">
        <v>2500</v>
      </c>
      <c r="G295">
        <v>2530</v>
      </c>
      <c r="H295">
        <v>2436</v>
      </c>
      <c r="I295">
        <v>2537</v>
      </c>
      <c r="J295" t="s">
        <v>19</v>
      </c>
    </row>
    <row r="296" spans="1:10">
      <c r="A296" t="s">
        <v>249</v>
      </c>
      <c r="C296" t="s">
        <v>12</v>
      </c>
      <c r="D296" t="s">
        <v>13</v>
      </c>
      <c r="E296" t="s">
        <v>39</v>
      </c>
      <c r="F296">
        <v>1000</v>
      </c>
      <c r="G296">
        <v>1012</v>
      </c>
      <c r="H296">
        <v>965</v>
      </c>
      <c r="I296">
        <v>975</v>
      </c>
      <c r="J296">
        <v>100000</v>
      </c>
    </row>
    <row r="297" spans="1:10">
      <c r="A297" t="s">
        <v>250</v>
      </c>
      <c r="B297" t="s">
        <v>21</v>
      </c>
      <c r="C297" t="s">
        <v>16</v>
      </c>
      <c r="D297" t="s">
        <v>17</v>
      </c>
      <c r="E297" t="s">
        <v>30</v>
      </c>
      <c r="F297">
        <v>1000</v>
      </c>
      <c r="G297">
        <v>1026</v>
      </c>
      <c r="H297">
        <v>949</v>
      </c>
      <c r="I297">
        <v>1046</v>
      </c>
    </row>
    <row r="298" spans="1:10">
      <c r="A298" t="s">
        <v>251</v>
      </c>
      <c r="C298" t="s">
        <v>12</v>
      </c>
      <c r="D298" t="s">
        <v>13</v>
      </c>
      <c r="E298" t="s">
        <v>39</v>
      </c>
      <c r="F298">
        <v>3500</v>
      </c>
      <c r="G298">
        <v>3530</v>
      </c>
      <c r="H298">
        <v>3459</v>
      </c>
      <c r="I298">
        <v>3494</v>
      </c>
      <c r="J298">
        <v>250000</v>
      </c>
    </row>
    <row r="299" spans="1:10">
      <c r="A299" t="s">
        <v>252</v>
      </c>
      <c r="C299" t="s">
        <v>12</v>
      </c>
      <c r="D299" t="s">
        <v>13</v>
      </c>
      <c r="F299">
        <v>2500</v>
      </c>
      <c r="G299">
        <v>2556</v>
      </c>
      <c r="H299">
        <v>2462</v>
      </c>
      <c r="I299">
        <v>2468</v>
      </c>
      <c r="J299" t="s">
        <v>19</v>
      </c>
    </row>
    <row r="300" spans="1:10">
      <c r="A300" t="s">
        <v>253</v>
      </c>
      <c r="C300" t="s">
        <v>16</v>
      </c>
      <c r="D300" t="s">
        <v>17</v>
      </c>
      <c r="J300">
        <v>250000</v>
      </c>
    </row>
    <row r="301" spans="1:10">
      <c r="A301" t="s">
        <v>254</v>
      </c>
      <c r="B301" t="s">
        <v>15</v>
      </c>
      <c r="C301" t="s">
        <v>26</v>
      </c>
      <c r="D301" t="s">
        <v>27</v>
      </c>
      <c r="E301" t="s">
        <v>51</v>
      </c>
      <c r="J301">
        <v>100000</v>
      </c>
    </row>
    <row r="302" spans="1:10">
      <c r="A302" t="s">
        <v>255</v>
      </c>
      <c r="B302" t="s">
        <v>11</v>
      </c>
      <c r="C302" t="s">
        <v>43</v>
      </c>
      <c r="D302" t="s">
        <v>44</v>
      </c>
      <c r="E302" t="s">
        <v>23</v>
      </c>
      <c r="F302">
        <v>2500</v>
      </c>
      <c r="G302">
        <v>2510</v>
      </c>
      <c r="H302">
        <v>2484</v>
      </c>
      <c r="I302">
        <v>2519</v>
      </c>
      <c r="J302">
        <v>250000</v>
      </c>
    </row>
    <row r="303" spans="1:10">
      <c r="A303" t="s">
        <v>255</v>
      </c>
      <c r="B303" t="s">
        <v>11</v>
      </c>
      <c r="C303" t="s">
        <v>22</v>
      </c>
      <c r="D303" t="s">
        <v>22</v>
      </c>
      <c r="E303" t="s">
        <v>23</v>
      </c>
      <c r="F303">
        <v>3500</v>
      </c>
      <c r="G303">
        <v>3600</v>
      </c>
      <c r="H303">
        <v>3472</v>
      </c>
      <c r="I303">
        <v>3523</v>
      </c>
      <c r="J303">
        <v>250000</v>
      </c>
    </row>
    <row r="304" spans="1:10">
      <c r="A304" t="s">
        <v>256</v>
      </c>
      <c r="B304" t="s">
        <v>15</v>
      </c>
      <c r="C304" t="s">
        <v>43</v>
      </c>
      <c r="D304" t="s">
        <v>44</v>
      </c>
      <c r="E304" t="s">
        <v>23</v>
      </c>
      <c r="F304">
        <v>1000</v>
      </c>
      <c r="G304">
        <v>1048</v>
      </c>
      <c r="H304">
        <v>920</v>
      </c>
      <c r="I304">
        <v>1032</v>
      </c>
      <c r="J304">
        <v>250000</v>
      </c>
    </row>
    <row r="305" spans="1:10">
      <c r="A305" t="s">
        <v>257</v>
      </c>
      <c r="B305" t="s">
        <v>21</v>
      </c>
      <c r="C305" t="s">
        <v>12</v>
      </c>
      <c r="D305" t="s">
        <v>13</v>
      </c>
      <c r="E305" t="s">
        <v>39</v>
      </c>
      <c r="F305">
        <v>2500</v>
      </c>
      <c r="G305">
        <v>2590</v>
      </c>
      <c r="H305">
        <v>2443</v>
      </c>
      <c r="I305">
        <v>2523</v>
      </c>
      <c r="J305">
        <v>250000</v>
      </c>
    </row>
    <row r="306" spans="1:10">
      <c r="A306" t="s">
        <v>258</v>
      </c>
      <c r="B306" t="s">
        <v>11</v>
      </c>
      <c r="C306" t="s">
        <v>26</v>
      </c>
      <c r="D306" t="s">
        <v>27</v>
      </c>
      <c r="E306" t="s">
        <v>28</v>
      </c>
      <c r="F306">
        <v>2500</v>
      </c>
      <c r="G306">
        <v>2539</v>
      </c>
      <c r="H306">
        <v>2437</v>
      </c>
      <c r="I306">
        <v>2532</v>
      </c>
      <c r="J306">
        <v>250000</v>
      </c>
    </row>
    <row r="307" spans="1:10">
      <c r="A307" t="s">
        <v>259</v>
      </c>
      <c r="B307" t="s">
        <v>21</v>
      </c>
      <c r="C307" t="s">
        <v>26</v>
      </c>
      <c r="D307" t="s">
        <v>27</v>
      </c>
      <c r="F307">
        <v>1000</v>
      </c>
      <c r="G307">
        <v>1069</v>
      </c>
      <c r="H307">
        <v>986</v>
      </c>
      <c r="I307">
        <v>1040</v>
      </c>
    </row>
    <row r="308" spans="1:10">
      <c r="A308" t="s">
        <v>260</v>
      </c>
      <c r="C308" t="s">
        <v>12</v>
      </c>
      <c r="D308" t="s">
        <v>13</v>
      </c>
      <c r="E308" t="s">
        <v>39</v>
      </c>
      <c r="F308">
        <v>3500</v>
      </c>
      <c r="G308">
        <v>3567</v>
      </c>
      <c r="H308">
        <v>3464</v>
      </c>
      <c r="I308">
        <v>3511</v>
      </c>
    </row>
    <row r="309" spans="1:10">
      <c r="A309" t="s">
        <v>260</v>
      </c>
      <c r="B309" t="s">
        <v>11</v>
      </c>
      <c r="C309" t="s">
        <v>22</v>
      </c>
      <c r="D309" t="s">
        <v>22</v>
      </c>
      <c r="F309">
        <v>3500</v>
      </c>
      <c r="G309">
        <v>3514</v>
      </c>
      <c r="H309">
        <v>3475</v>
      </c>
      <c r="I309">
        <v>3507</v>
      </c>
      <c r="J309" t="s">
        <v>19</v>
      </c>
    </row>
    <row r="310" spans="1:10">
      <c r="A310" t="s">
        <v>261</v>
      </c>
      <c r="C310" t="s">
        <v>12</v>
      </c>
      <c r="D310" t="s">
        <v>13</v>
      </c>
      <c r="E310" t="s">
        <v>39</v>
      </c>
      <c r="J310" t="s">
        <v>19</v>
      </c>
    </row>
    <row r="311" spans="1:10">
      <c r="A311" t="s">
        <v>262</v>
      </c>
      <c r="C311" t="s">
        <v>43</v>
      </c>
      <c r="D311" t="s">
        <v>44</v>
      </c>
      <c r="E311" t="s">
        <v>23</v>
      </c>
      <c r="J311" t="s">
        <v>19</v>
      </c>
    </row>
    <row r="312" spans="1:10">
      <c r="A312" t="s">
        <v>262</v>
      </c>
      <c r="B312" t="s">
        <v>15</v>
      </c>
      <c r="C312" t="s">
        <v>16</v>
      </c>
      <c r="D312" t="s">
        <v>17</v>
      </c>
      <c r="E312" t="s">
        <v>30</v>
      </c>
      <c r="F312">
        <v>2500</v>
      </c>
      <c r="G312">
        <v>2513</v>
      </c>
      <c r="H312">
        <v>2470</v>
      </c>
      <c r="I312">
        <v>2451</v>
      </c>
    </row>
    <row r="313" spans="1:10">
      <c r="A313" t="s">
        <v>263</v>
      </c>
      <c r="C313" t="s">
        <v>12</v>
      </c>
      <c r="D313" t="s">
        <v>13</v>
      </c>
      <c r="E313" t="s">
        <v>39</v>
      </c>
      <c r="F313">
        <v>2500</v>
      </c>
      <c r="G313">
        <v>2534</v>
      </c>
      <c r="H313">
        <v>2450</v>
      </c>
      <c r="I313">
        <v>2544</v>
      </c>
    </row>
    <row r="314" spans="1:10">
      <c r="A314" t="s">
        <v>264</v>
      </c>
      <c r="C314" t="s">
        <v>26</v>
      </c>
      <c r="D314" t="s">
        <v>27</v>
      </c>
      <c r="F314">
        <v>2500</v>
      </c>
      <c r="G314">
        <v>2573</v>
      </c>
      <c r="H314">
        <v>2479</v>
      </c>
      <c r="I314">
        <v>2501</v>
      </c>
      <c r="J314">
        <v>250000</v>
      </c>
    </row>
    <row r="315" spans="1:10">
      <c r="A315" t="s">
        <v>264</v>
      </c>
      <c r="B315" t="s">
        <v>15</v>
      </c>
      <c r="C315" t="s">
        <v>43</v>
      </c>
      <c r="D315" t="s">
        <v>44</v>
      </c>
      <c r="E315" t="s">
        <v>23</v>
      </c>
      <c r="F315">
        <v>3500</v>
      </c>
      <c r="G315">
        <v>3597</v>
      </c>
      <c r="H315">
        <v>3435</v>
      </c>
      <c r="I315">
        <v>3469</v>
      </c>
      <c r="J315" t="s">
        <v>19</v>
      </c>
    </row>
    <row r="316" spans="1:10">
      <c r="A316" t="s">
        <v>265</v>
      </c>
      <c r="B316" t="s">
        <v>11</v>
      </c>
      <c r="C316" t="s">
        <v>26</v>
      </c>
      <c r="D316" t="s">
        <v>27</v>
      </c>
      <c r="E316" t="s">
        <v>28</v>
      </c>
    </row>
    <row r="317" spans="1:10">
      <c r="A317" t="s">
        <v>266</v>
      </c>
      <c r="B317" t="s">
        <v>15</v>
      </c>
      <c r="C317" t="s">
        <v>22</v>
      </c>
      <c r="D317" t="s">
        <v>22</v>
      </c>
      <c r="E317" t="s">
        <v>23</v>
      </c>
      <c r="J317">
        <v>250000</v>
      </c>
    </row>
    <row r="318" spans="1:10">
      <c r="A318" t="s">
        <v>266</v>
      </c>
      <c r="B318" t="s">
        <v>11</v>
      </c>
      <c r="C318" t="s">
        <v>12</v>
      </c>
      <c r="D318" t="s">
        <v>13</v>
      </c>
      <c r="E318" t="s">
        <v>37</v>
      </c>
      <c r="J318">
        <v>250000</v>
      </c>
    </row>
    <row r="319" spans="1:10">
      <c r="A319" t="s">
        <v>267</v>
      </c>
      <c r="C319" t="s">
        <v>12</v>
      </c>
      <c r="D319" t="s">
        <v>13</v>
      </c>
      <c r="E319" t="s">
        <v>39</v>
      </c>
      <c r="F319">
        <v>3500</v>
      </c>
      <c r="G319">
        <v>3548</v>
      </c>
      <c r="H319">
        <v>3465</v>
      </c>
      <c r="I319">
        <v>3466</v>
      </c>
    </row>
    <row r="320" spans="1:10">
      <c r="A320" t="s">
        <v>268</v>
      </c>
      <c r="B320" t="s">
        <v>15</v>
      </c>
      <c r="C320" t="s">
        <v>16</v>
      </c>
      <c r="D320" t="s">
        <v>17</v>
      </c>
      <c r="F320">
        <v>1000</v>
      </c>
      <c r="G320">
        <v>1059</v>
      </c>
      <c r="H320">
        <v>978</v>
      </c>
      <c r="I320">
        <v>961</v>
      </c>
      <c r="J320" t="s">
        <v>19</v>
      </c>
    </row>
    <row r="321" spans="1:10">
      <c r="A321" t="s">
        <v>269</v>
      </c>
      <c r="B321" t="s">
        <v>21</v>
      </c>
      <c r="C321" t="s">
        <v>26</v>
      </c>
      <c r="D321" t="s">
        <v>27</v>
      </c>
      <c r="E321" t="s">
        <v>51</v>
      </c>
    </row>
    <row r="322" spans="1:10">
      <c r="A322" t="s">
        <v>270</v>
      </c>
      <c r="B322" t="s">
        <v>11</v>
      </c>
      <c r="C322" t="s">
        <v>12</v>
      </c>
      <c r="D322" t="s">
        <v>13</v>
      </c>
      <c r="F322">
        <v>1000</v>
      </c>
      <c r="G322">
        <v>1089</v>
      </c>
      <c r="H322">
        <v>987</v>
      </c>
      <c r="I322">
        <v>1002</v>
      </c>
    </row>
    <row r="323" spans="1:10">
      <c r="A323" t="s">
        <v>271</v>
      </c>
      <c r="B323" t="s">
        <v>21</v>
      </c>
      <c r="C323" t="s">
        <v>43</v>
      </c>
      <c r="D323" t="s">
        <v>44</v>
      </c>
      <c r="E323" t="s">
        <v>23</v>
      </c>
      <c r="J323" t="s">
        <v>19</v>
      </c>
    </row>
    <row r="324" spans="1:10">
      <c r="A324" t="s">
        <v>272</v>
      </c>
      <c r="B324" t="s">
        <v>11</v>
      </c>
      <c r="C324" t="s">
        <v>26</v>
      </c>
      <c r="D324" t="s">
        <v>27</v>
      </c>
      <c r="F324">
        <v>2500</v>
      </c>
      <c r="G324">
        <v>2547</v>
      </c>
      <c r="H324">
        <v>2489</v>
      </c>
      <c r="I324">
        <v>2487</v>
      </c>
      <c r="J324">
        <v>250000</v>
      </c>
    </row>
    <row r="325" spans="1:10">
      <c r="A325" t="s">
        <v>272</v>
      </c>
      <c r="C325" t="s">
        <v>16</v>
      </c>
      <c r="D325" t="s">
        <v>17</v>
      </c>
      <c r="E325" t="s">
        <v>18</v>
      </c>
      <c r="F325">
        <v>1000</v>
      </c>
      <c r="G325">
        <v>1098</v>
      </c>
      <c r="H325">
        <v>941</v>
      </c>
      <c r="I325">
        <v>970</v>
      </c>
      <c r="J325">
        <v>250000</v>
      </c>
    </row>
    <row r="326" spans="1:10">
      <c r="A326" t="s">
        <v>273</v>
      </c>
      <c r="B326" t="s">
        <v>11</v>
      </c>
      <c r="C326" t="s">
        <v>12</v>
      </c>
      <c r="D326" t="s">
        <v>13</v>
      </c>
      <c r="F326">
        <v>3500</v>
      </c>
      <c r="G326">
        <v>3540</v>
      </c>
      <c r="H326">
        <v>3445</v>
      </c>
      <c r="I326">
        <v>3515</v>
      </c>
      <c r="J326" t="s">
        <v>19</v>
      </c>
    </row>
    <row r="327" spans="1:10">
      <c r="A327" t="s">
        <v>274</v>
      </c>
      <c r="B327" t="s">
        <v>11</v>
      </c>
      <c r="C327" t="s">
        <v>43</v>
      </c>
      <c r="D327" t="s">
        <v>44</v>
      </c>
      <c r="E327" t="s">
        <v>23</v>
      </c>
    </row>
    <row r="328" spans="1:10">
      <c r="A328" t="s">
        <v>275</v>
      </c>
      <c r="B328" t="s">
        <v>11</v>
      </c>
      <c r="C328" t="s">
        <v>22</v>
      </c>
      <c r="D328" t="s">
        <v>22</v>
      </c>
      <c r="E328" t="s">
        <v>23</v>
      </c>
      <c r="F328">
        <v>2500</v>
      </c>
      <c r="G328">
        <v>2554</v>
      </c>
      <c r="H328">
        <v>2446</v>
      </c>
      <c r="I328">
        <v>2515</v>
      </c>
    </row>
    <row r="329" spans="1:10">
      <c r="A329" t="s">
        <v>276</v>
      </c>
      <c r="B329" t="s">
        <v>21</v>
      </c>
      <c r="C329" t="s">
        <v>22</v>
      </c>
      <c r="D329" t="s">
        <v>22</v>
      </c>
      <c r="E329" t="s">
        <v>23</v>
      </c>
      <c r="F329">
        <v>1000</v>
      </c>
      <c r="G329">
        <v>1030</v>
      </c>
      <c r="H329">
        <v>951</v>
      </c>
      <c r="I329">
        <v>961</v>
      </c>
      <c r="J329" t="s">
        <v>19</v>
      </c>
    </row>
    <row r="330" spans="1:10">
      <c r="A330" t="s">
        <v>276</v>
      </c>
      <c r="B330" t="s">
        <v>15</v>
      </c>
      <c r="C330" t="s">
        <v>16</v>
      </c>
      <c r="D330" t="s">
        <v>17</v>
      </c>
      <c r="E330" t="s">
        <v>18</v>
      </c>
      <c r="F330">
        <v>1000</v>
      </c>
      <c r="G330">
        <v>1081</v>
      </c>
      <c r="H330">
        <v>964</v>
      </c>
      <c r="I330">
        <v>1002</v>
      </c>
      <c r="J330">
        <v>250000</v>
      </c>
    </row>
    <row r="331" spans="1:10">
      <c r="A331" t="s">
        <v>277</v>
      </c>
      <c r="B331" t="s">
        <v>15</v>
      </c>
      <c r="C331" t="s">
        <v>26</v>
      </c>
      <c r="D331" t="s">
        <v>27</v>
      </c>
      <c r="E331" t="s">
        <v>28</v>
      </c>
      <c r="F331">
        <v>3500</v>
      </c>
      <c r="G331">
        <v>3515</v>
      </c>
      <c r="H331">
        <v>3430</v>
      </c>
      <c r="I331">
        <v>3533</v>
      </c>
      <c r="J331" t="s">
        <v>19</v>
      </c>
    </row>
    <row r="332" spans="1:10">
      <c r="A332" t="s">
        <v>278</v>
      </c>
      <c r="B332" t="s">
        <v>15</v>
      </c>
      <c r="C332" t="s">
        <v>12</v>
      </c>
      <c r="D332" t="s">
        <v>13</v>
      </c>
      <c r="F332">
        <v>1000</v>
      </c>
      <c r="G332">
        <v>1052</v>
      </c>
      <c r="H332">
        <v>938</v>
      </c>
      <c r="I332">
        <v>1038</v>
      </c>
      <c r="J332">
        <v>250000</v>
      </c>
    </row>
    <row r="333" spans="1:10">
      <c r="A333" t="s">
        <v>279</v>
      </c>
      <c r="B333" t="s">
        <v>21</v>
      </c>
      <c r="C333" t="s">
        <v>12</v>
      </c>
      <c r="D333" t="s">
        <v>13</v>
      </c>
      <c r="E333" t="s">
        <v>37</v>
      </c>
      <c r="F333">
        <v>1000</v>
      </c>
      <c r="G333">
        <v>1095</v>
      </c>
      <c r="H333">
        <v>979</v>
      </c>
      <c r="I333">
        <v>967</v>
      </c>
      <c r="J333">
        <v>250000</v>
      </c>
    </row>
    <row r="334" spans="1:10">
      <c r="A334" t="s">
        <v>280</v>
      </c>
      <c r="B334" t="s">
        <v>21</v>
      </c>
      <c r="C334" t="s">
        <v>22</v>
      </c>
      <c r="D334" t="s">
        <v>22</v>
      </c>
      <c r="E334" t="s">
        <v>23</v>
      </c>
      <c r="F334">
        <v>2500</v>
      </c>
      <c r="G334">
        <v>2547</v>
      </c>
      <c r="H334">
        <v>2440</v>
      </c>
      <c r="I334">
        <v>2532</v>
      </c>
      <c r="J334">
        <v>100000</v>
      </c>
    </row>
    <row r="335" spans="1:10">
      <c r="A335" t="s">
        <v>281</v>
      </c>
      <c r="C335" t="s">
        <v>12</v>
      </c>
      <c r="D335" t="s">
        <v>13</v>
      </c>
      <c r="E335" t="s">
        <v>37</v>
      </c>
      <c r="F335">
        <v>2500</v>
      </c>
      <c r="G335">
        <v>2570</v>
      </c>
      <c r="H335">
        <v>2422</v>
      </c>
      <c r="I335">
        <v>2478</v>
      </c>
    </row>
    <row r="336" spans="1:10">
      <c r="A336" t="s">
        <v>281</v>
      </c>
      <c r="B336" t="s">
        <v>21</v>
      </c>
      <c r="C336" t="s">
        <v>12</v>
      </c>
      <c r="D336" t="s">
        <v>13</v>
      </c>
      <c r="E336" t="s">
        <v>39</v>
      </c>
      <c r="F336">
        <v>1000</v>
      </c>
      <c r="G336">
        <v>1097</v>
      </c>
      <c r="H336">
        <v>972</v>
      </c>
      <c r="I336">
        <v>981</v>
      </c>
      <c r="J336" t="s">
        <v>19</v>
      </c>
    </row>
    <row r="337" spans="1:10">
      <c r="A337" t="s">
        <v>282</v>
      </c>
      <c r="B337" t="s">
        <v>15</v>
      </c>
      <c r="C337" t="s">
        <v>43</v>
      </c>
      <c r="D337" t="s">
        <v>44</v>
      </c>
      <c r="E337" t="s">
        <v>23</v>
      </c>
      <c r="F337">
        <v>1000</v>
      </c>
      <c r="G337">
        <v>1018</v>
      </c>
      <c r="H337">
        <v>990</v>
      </c>
      <c r="I337">
        <v>1005</v>
      </c>
      <c r="J337">
        <v>100000</v>
      </c>
    </row>
    <row r="338" spans="1:10">
      <c r="A338" t="s">
        <v>282</v>
      </c>
      <c r="B338" t="s">
        <v>21</v>
      </c>
      <c r="C338" t="s">
        <v>26</v>
      </c>
      <c r="D338" t="s">
        <v>27</v>
      </c>
      <c r="F338">
        <v>2500</v>
      </c>
      <c r="G338">
        <v>2582</v>
      </c>
      <c r="H338">
        <v>2452</v>
      </c>
      <c r="I338">
        <v>2527</v>
      </c>
      <c r="J338">
        <v>250000</v>
      </c>
    </row>
    <row r="339" spans="1:10">
      <c r="A339" t="s">
        <v>283</v>
      </c>
      <c r="B339" t="s">
        <v>15</v>
      </c>
      <c r="C339" t="s">
        <v>22</v>
      </c>
      <c r="D339" t="s">
        <v>22</v>
      </c>
      <c r="F339">
        <v>3500</v>
      </c>
      <c r="G339">
        <v>3549</v>
      </c>
      <c r="H339">
        <v>3430</v>
      </c>
      <c r="I339">
        <v>3532</v>
      </c>
      <c r="J339">
        <v>250000</v>
      </c>
    </row>
    <row r="340" spans="1:10">
      <c r="A340" t="s">
        <v>284</v>
      </c>
      <c r="B340" t="s">
        <v>15</v>
      </c>
      <c r="C340" t="s">
        <v>43</v>
      </c>
      <c r="D340" t="s">
        <v>44</v>
      </c>
      <c r="E340" t="s">
        <v>23</v>
      </c>
      <c r="F340">
        <v>3500</v>
      </c>
      <c r="G340">
        <v>3512</v>
      </c>
      <c r="H340">
        <v>3440</v>
      </c>
      <c r="I340">
        <v>3525</v>
      </c>
    </row>
    <row r="341" spans="1:10">
      <c r="A341" t="s">
        <v>284</v>
      </c>
      <c r="B341" t="s">
        <v>15</v>
      </c>
      <c r="C341" t="s">
        <v>12</v>
      </c>
      <c r="D341" t="s">
        <v>13</v>
      </c>
      <c r="E341" t="s">
        <v>39</v>
      </c>
      <c r="J341">
        <v>100000</v>
      </c>
    </row>
    <row r="342" spans="1:10">
      <c r="A342" t="s">
        <v>285</v>
      </c>
      <c r="B342" t="s">
        <v>21</v>
      </c>
      <c r="C342" t="s">
        <v>16</v>
      </c>
      <c r="D342" t="s">
        <v>17</v>
      </c>
      <c r="E342" t="s">
        <v>18</v>
      </c>
      <c r="F342">
        <v>2500</v>
      </c>
      <c r="G342">
        <v>2594</v>
      </c>
      <c r="H342">
        <v>2488</v>
      </c>
      <c r="I342">
        <v>2510</v>
      </c>
      <c r="J342">
        <v>250000</v>
      </c>
    </row>
    <row r="343" spans="1:10">
      <c r="A343" t="s">
        <v>286</v>
      </c>
      <c r="B343" t="s">
        <v>15</v>
      </c>
      <c r="C343" t="s">
        <v>26</v>
      </c>
      <c r="D343" t="s">
        <v>27</v>
      </c>
      <c r="F343">
        <v>1000</v>
      </c>
      <c r="G343">
        <v>1051</v>
      </c>
      <c r="H343">
        <v>968</v>
      </c>
      <c r="I343">
        <v>972</v>
      </c>
      <c r="J343" t="s">
        <v>19</v>
      </c>
    </row>
    <row r="344" spans="1:10">
      <c r="A344" t="s">
        <v>286</v>
      </c>
      <c r="B344" t="s">
        <v>15</v>
      </c>
      <c r="C344" t="s">
        <v>22</v>
      </c>
      <c r="D344" t="s">
        <v>22</v>
      </c>
      <c r="E344" t="s">
        <v>23</v>
      </c>
      <c r="F344">
        <v>2500</v>
      </c>
      <c r="G344">
        <v>2572</v>
      </c>
      <c r="H344">
        <v>2434</v>
      </c>
      <c r="I344">
        <v>2531</v>
      </c>
      <c r="J344">
        <v>100000</v>
      </c>
    </row>
    <row r="345" spans="1:10">
      <c r="A345" t="s">
        <v>287</v>
      </c>
      <c r="C345" t="s">
        <v>16</v>
      </c>
      <c r="D345" t="s">
        <v>17</v>
      </c>
      <c r="F345">
        <v>1000</v>
      </c>
      <c r="G345">
        <v>1056</v>
      </c>
      <c r="H345">
        <v>933</v>
      </c>
      <c r="I345">
        <v>1018</v>
      </c>
      <c r="J345">
        <v>100000</v>
      </c>
    </row>
    <row r="346" spans="1:10">
      <c r="A346" t="s">
        <v>288</v>
      </c>
      <c r="B346" t="s">
        <v>11</v>
      </c>
      <c r="C346" t="s">
        <v>43</v>
      </c>
      <c r="D346" t="s">
        <v>44</v>
      </c>
      <c r="F346">
        <v>1000</v>
      </c>
      <c r="G346">
        <v>1052</v>
      </c>
      <c r="H346">
        <v>987</v>
      </c>
      <c r="I346">
        <v>1012</v>
      </c>
      <c r="J346" t="s">
        <v>19</v>
      </c>
    </row>
    <row r="347" spans="1:10">
      <c r="A347" t="s">
        <v>288</v>
      </c>
      <c r="B347" t="s">
        <v>21</v>
      </c>
      <c r="C347" t="s">
        <v>22</v>
      </c>
      <c r="D347" t="s">
        <v>22</v>
      </c>
      <c r="E347" t="s">
        <v>23</v>
      </c>
      <c r="F347">
        <v>3500</v>
      </c>
      <c r="G347">
        <v>3569</v>
      </c>
      <c r="H347">
        <v>3469</v>
      </c>
      <c r="I347">
        <v>3530</v>
      </c>
      <c r="J347">
        <v>100000</v>
      </c>
    </row>
    <row r="348" spans="1:10">
      <c r="A348" t="s">
        <v>289</v>
      </c>
      <c r="B348" t="s">
        <v>21</v>
      </c>
      <c r="C348" t="s">
        <v>43</v>
      </c>
      <c r="D348" t="s">
        <v>44</v>
      </c>
      <c r="E348" t="s">
        <v>23</v>
      </c>
      <c r="F348">
        <v>1000</v>
      </c>
      <c r="G348">
        <v>1049</v>
      </c>
      <c r="H348">
        <v>950</v>
      </c>
      <c r="I348">
        <v>998</v>
      </c>
      <c r="J348" t="s">
        <v>19</v>
      </c>
    </row>
    <row r="349" spans="1:10">
      <c r="A349" t="s">
        <v>290</v>
      </c>
      <c r="B349" t="s">
        <v>11</v>
      </c>
      <c r="C349" t="s">
        <v>43</v>
      </c>
      <c r="D349" t="s">
        <v>44</v>
      </c>
      <c r="F349">
        <v>2500</v>
      </c>
      <c r="G349">
        <v>2598</v>
      </c>
      <c r="H349">
        <v>2489</v>
      </c>
      <c r="I349">
        <v>2506</v>
      </c>
      <c r="J349">
        <v>100000</v>
      </c>
    </row>
    <row r="350" spans="1:10">
      <c r="A350" t="s">
        <v>291</v>
      </c>
      <c r="B350" t="s">
        <v>21</v>
      </c>
      <c r="C350" t="s">
        <v>12</v>
      </c>
      <c r="D350" t="s">
        <v>13</v>
      </c>
      <c r="E350" t="s">
        <v>37</v>
      </c>
      <c r="F350">
        <v>2500</v>
      </c>
      <c r="G350">
        <v>2560</v>
      </c>
      <c r="H350">
        <v>2453</v>
      </c>
      <c r="I350">
        <v>2520</v>
      </c>
      <c r="J350">
        <v>250000</v>
      </c>
    </row>
    <row r="351" spans="1:10">
      <c r="A351" t="s">
        <v>291</v>
      </c>
      <c r="B351" t="s">
        <v>15</v>
      </c>
      <c r="C351" t="s">
        <v>22</v>
      </c>
      <c r="D351" t="s">
        <v>22</v>
      </c>
      <c r="F351">
        <v>3500</v>
      </c>
      <c r="G351">
        <v>3548</v>
      </c>
      <c r="H351">
        <v>3472</v>
      </c>
      <c r="I351">
        <v>3455</v>
      </c>
    </row>
    <row r="352" spans="1:10">
      <c r="A352" t="s">
        <v>292</v>
      </c>
      <c r="B352" t="s">
        <v>21</v>
      </c>
      <c r="C352" t="s">
        <v>26</v>
      </c>
      <c r="D352" t="s">
        <v>27</v>
      </c>
      <c r="E352" t="s">
        <v>51</v>
      </c>
      <c r="F352">
        <v>1000</v>
      </c>
      <c r="G352">
        <v>1054</v>
      </c>
      <c r="H352">
        <v>981</v>
      </c>
      <c r="I352">
        <v>969</v>
      </c>
      <c r="J352">
        <v>250000</v>
      </c>
    </row>
    <row r="353" spans="1:10">
      <c r="A353" t="s">
        <v>293</v>
      </c>
      <c r="C353" t="s">
        <v>43</v>
      </c>
      <c r="D353" t="s">
        <v>44</v>
      </c>
      <c r="E353" t="s">
        <v>23</v>
      </c>
      <c r="F353">
        <v>2500</v>
      </c>
      <c r="G353">
        <v>2532</v>
      </c>
      <c r="H353">
        <v>2480</v>
      </c>
      <c r="I353">
        <v>2512</v>
      </c>
      <c r="J353">
        <v>250000</v>
      </c>
    </row>
    <row r="354" spans="1:10">
      <c r="A354" t="s">
        <v>294</v>
      </c>
      <c r="B354" t="s">
        <v>21</v>
      </c>
      <c r="C354" t="s">
        <v>26</v>
      </c>
      <c r="D354" t="s">
        <v>27</v>
      </c>
      <c r="F354">
        <v>2500</v>
      </c>
      <c r="G354">
        <v>2590</v>
      </c>
      <c r="H354">
        <v>2490</v>
      </c>
      <c r="I354">
        <v>2483</v>
      </c>
    </row>
    <row r="355" spans="1:10">
      <c r="A355" t="s">
        <v>295</v>
      </c>
      <c r="B355" t="s">
        <v>11</v>
      </c>
      <c r="C355" t="s">
        <v>12</v>
      </c>
      <c r="D355" t="s">
        <v>13</v>
      </c>
      <c r="E355" t="s">
        <v>39</v>
      </c>
      <c r="J355">
        <v>250000</v>
      </c>
    </row>
    <row r="356" spans="1:10">
      <c r="A356" t="s">
        <v>296</v>
      </c>
      <c r="B356" t="s">
        <v>21</v>
      </c>
      <c r="C356" t="s">
        <v>16</v>
      </c>
      <c r="D356" t="s">
        <v>17</v>
      </c>
      <c r="E356" t="s">
        <v>30</v>
      </c>
      <c r="F356">
        <v>3500</v>
      </c>
      <c r="G356">
        <v>3527</v>
      </c>
      <c r="H356">
        <v>3483</v>
      </c>
      <c r="I356">
        <v>3515</v>
      </c>
      <c r="J356">
        <v>100000</v>
      </c>
    </row>
    <row r="357" spans="1:10">
      <c r="A357" t="s">
        <v>297</v>
      </c>
      <c r="B357" t="s">
        <v>15</v>
      </c>
      <c r="C357" t="s">
        <v>22</v>
      </c>
      <c r="D357" t="s">
        <v>22</v>
      </c>
      <c r="E357" t="s">
        <v>23</v>
      </c>
      <c r="F357">
        <v>2500</v>
      </c>
      <c r="G357">
        <v>2540</v>
      </c>
      <c r="H357">
        <v>2422</v>
      </c>
      <c r="I357">
        <v>2535</v>
      </c>
    </row>
    <row r="358" spans="1:10">
      <c r="A358" t="s">
        <v>297</v>
      </c>
      <c r="B358" t="s">
        <v>21</v>
      </c>
      <c r="C358" t="s">
        <v>22</v>
      </c>
      <c r="D358" t="s">
        <v>22</v>
      </c>
      <c r="E358" t="s">
        <v>23</v>
      </c>
      <c r="F358">
        <v>3500</v>
      </c>
      <c r="G358">
        <v>3519</v>
      </c>
      <c r="H358">
        <v>3480</v>
      </c>
      <c r="I358">
        <v>3528</v>
      </c>
      <c r="J358">
        <v>100000</v>
      </c>
    </row>
    <row r="359" spans="1:10">
      <c r="A359" t="s">
        <v>298</v>
      </c>
      <c r="B359" t="s">
        <v>11</v>
      </c>
      <c r="C359" t="s">
        <v>16</v>
      </c>
      <c r="D359" t="s">
        <v>17</v>
      </c>
      <c r="E359" t="s">
        <v>30</v>
      </c>
      <c r="F359">
        <v>2500</v>
      </c>
      <c r="G359">
        <v>2584</v>
      </c>
      <c r="H359">
        <v>2470</v>
      </c>
      <c r="I359">
        <v>2476</v>
      </c>
      <c r="J359" t="s">
        <v>19</v>
      </c>
    </row>
    <row r="360" spans="1:10">
      <c r="A360" t="s">
        <v>299</v>
      </c>
      <c r="B360" t="s">
        <v>11</v>
      </c>
      <c r="C360" t="s">
        <v>26</v>
      </c>
      <c r="D360" t="s">
        <v>27</v>
      </c>
      <c r="F360">
        <v>1000</v>
      </c>
      <c r="G360">
        <v>1037</v>
      </c>
      <c r="H360">
        <v>953</v>
      </c>
      <c r="I360">
        <v>1025</v>
      </c>
      <c r="J360" t="s">
        <v>19</v>
      </c>
    </row>
    <row r="361" spans="1:10">
      <c r="A361" t="s">
        <v>300</v>
      </c>
      <c r="B361" t="s">
        <v>21</v>
      </c>
      <c r="C361" t="s">
        <v>43</v>
      </c>
      <c r="D361" t="s">
        <v>44</v>
      </c>
      <c r="J361" t="s">
        <v>19</v>
      </c>
    </row>
    <row r="362" spans="1:10">
      <c r="A362" t="s">
        <v>301</v>
      </c>
      <c r="B362" t="s">
        <v>15</v>
      </c>
      <c r="C362" t="s">
        <v>26</v>
      </c>
      <c r="D362" t="s">
        <v>27</v>
      </c>
      <c r="E362" t="s">
        <v>51</v>
      </c>
      <c r="F362">
        <v>2500</v>
      </c>
      <c r="G362">
        <v>2571</v>
      </c>
      <c r="H362">
        <v>2437</v>
      </c>
      <c r="I362">
        <v>2456</v>
      </c>
      <c r="J362" t="s">
        <v>19</v>
      </c>
    </row>
    <row r="363" spans="1:10">
      <c r="A363" t="s">
        <v>301</v>
      </c>
      <c r="B363" t="s">
        <v>21</v>
      </c>
      <c r="C363" t="s">
        <v>22</v>
      </c>
      <c r="D363" t="s">
        <v>22</v>
      </c>
      <c r="E363" t="s">
        <v>23</v>
      </c>
      <c r="F363">
        <v>3500</v>
      </c>
      <c r="G363">
        <v>3558</v>
      </c>
      <c r="H363">
        <v>3475</v>
      </c>
      <c r="I363">
        <v>3483</v>
      </c>
      <c r="J363">
        <v>250000</v>
      </c>
    </row>
    <row r="364" spans="1:10">
      <c r="A364" t="s">
        <v>302</v>
      </c>
      <c r="B364" t="s">
        <v>15</v>
      </c>
      <c r="C364" t="s">
        <v>43</v>
      </c>
      <c r="D364" t="s">
        <v>44</v>
      </c>
      <c r="E364" t="s">
        <v>23</v>
      </c>
      <c r="F364">
        <v>2500</v>
      </c>
      <c r="G364">
        <v>2548</v>
      </c>
      <c r="H364">
        <v>2435</v>
      </c>
      <c r="I364">
        <v>2493</v>
      </c>
      <c r="J364">
        <v>100000</v>
      </c>
    </row>
    <row r="365" spans="1:10">
      <c r="A365" t="s">
        <v>302</v>
      </c>
      <c r="C365" t="s">
        <v>12</v>
      </c>
      <c r="D365" t="s">
        <v>13</v>
      </c>
      <c r="J365">
        <v>250000</v>
      </c>
    </row>
    <row r="366" spans="1:10">
      <c r="A366" t="s">
        <v>303</v>
      </c>
      <c r="B366" t="s">
        <v>15</v>
      </c>
      <c r="C366" t="s">
        <v>16</v>
      </c>
      <c r="D366" t="s">
        <v>17</v>
      </c>
      <c r="F366">
        <v>2500</v>
      </c>
      <c r="G366">
        <v>2539</v>
      </c>
      <c r="H366">
        <v>2490</v>
      </c>
      <c r="I366">
        <v>2476</v>
      </c>
    </row>
    <row r="367" spans="1:10">
      <c r="A367" t="s">
        <v>303</v>
      </c>
      <c r="B367" t="s">
        <v>11</v>
      </c>
      <c r="C367" t="s">
        <v>26</v>
      </c>
      <c r="D367" t="s">
        <v>27</v>
      </c>
      <c r="E367" t="s">
        <v>51</v>
      </c>
      <c r="F367">
        <v>1000</v>
      </c>
      <c r="G367">
        <v>1055</v>
      </c>
      <c r="H367">
        <v>927</v>
      </c>
      <c r="I367">
        <v>1016</v>
      </c>
      <c r="J367" t="s">
        <v>19</v>
      </c>
    </row>
    <row r="368" spans="1:10">
      <c r="A368" t="s">
        <v>304</v>
      </c>
      <c r="B368" t="s">
        <v>15</v>
      </c>
      <c r="C368" t="s">
        <v>26</v>
      </c>
      <c r="D368" t="s">
        <v>27</v>
      </c>
      <c r="E368" t="s">
        <v>51</v>
      </c>
      <c r="J368" t="s">
        <v>19</v>
      </c>
    </row>
    <row r="369" spans="1:10">
      <c r="A369" t="s">
        <v>305</v>
      </c>
      <c r="B369" t="s">
        <v>15</v>
      </c>
      <c r="C369" t="s">
        <v>26</v>
      </c>
      <c r="D369" t="s">
        <v>27</v>
      </c>
      <c r="E369" t="s">
        <v>28</v>
      </c>
      <c r="F369">
        <v>2500</v>
      </c>
      <c r="G369">
        <v>2515</v>
      </c>
      <c r="H369">
        <v>2470</v>
      </c>
      <c r="I369">
        <v>2534</v>
      </c>
    </row>
    <row r="370" spans="1:10">
      <c r="A370" t="s">
        <v>306</v>
      </c>
      <c r="B370" t="s">
        <v>11</v>
      </c>
      <c r="C370" t="s">
        <v>22</v>
      </c>
      <c r="D370" t="s">
        <v>22</v>
      </c>
      <c r="E370" t="s">
        <v>23</v>
      </c>
      <c r="F370">
        <v>1000</v>
      </c>
      <c r="G370">
        <v>1074</v>
      </c>
      <c r="H370">
        <v>971</v>
      </c>
      <c r="I370">
        <v>1013</v>
      </c>
      <c r="J370">
        <v>100000</v>
      </c>
    </row>
    <row r="371" spans="1:10">
      <c r="A371" t="s">
        <v>306</v>
      </c>
      <c r="B371" t="s">
        <v>11</v>
      </c>
      <c r="C371" t="s">
        <v>16</v>
      </c>
      <c r="D371" t="s">
        <v>17</v>
      </c>
      <c r="F371">
        <v>3500</v>
      </c>
      <c r="G371">
        <v>3566</v>
      </c>
      <c r="H371">
        <v>3476</v>
      </c>
      <c r="I371">
        <v>3536</v>
      </c>
      <c r="J371">
        <v>250000</v>
      </c>
    </row>
    <row r="372" spans="1:10">
      <c r="A372" t="s">
        <v>307</v>
      </c>
      <c r="B372" t="s">
        <v>11</v>
      </c>
      <c r="C372" t="s">
        <v>26</v>
      </c>
      <c r="D372" t="s">
        <v>27</v>
      </c>
      <c r="E372" t="s">
        <v>28</v>
      </c>
      <c r="J372">
        <v>100000</v>
      </c>
    </row>
    <row r="373" spans="1:10">
      <c r="A373" t="s">
        <v>307</v>
      </c>
      <c r="B373" t="s">
        <v>15</v>
      </c>
      <c r="C373" t="s">
        <v>43</v>
      </c>
      <c r="D373" t="s">
        <v>44</v>
      </c>
      <c r="F373">
        <v>1000</v>
      </c>
      <c r="G373">
        <v>1081</v>
      </c>
      <c r="H373">
        <v>949</v>
      </c>
      <c r="I373">
        <v>976</v>
      </c>
      <c r="J373">
        <v>100000</v>
      </c>
    </row>
    <row r="374" spans="1:10">
      <c r="A374" t="s">
        <v>308</v>
      </c>
      <c r="C374" t="s">
        <v>12</v>
      </c>
      <c r="D374" t="s">
        <v>13</v>
      </c>
      <c r="E374" t="s">
        <v>37</v>
      </c>
      <c r="F374">
        <v>3500</v>
      </c>
      <c r="G374">
        <v>3533</v>
      </c>
      <c r="H374">
        <v>3429</v>
      </c>
      <c r="I374">
        <v>3478</v>
      </c>
      <c r="J374">
        <v>250000</v>
      </c>
    </row>
    <row r="375" spans="1:10">
      <c r="A375" t="s">
        <v>309</v>
      </c>
      <c r="B375" t="s">
        <v>21</v>
      </c>
      <c r="C375" t="s">
        <v>12</v>
      </c>
      <c r="D375" t="s">
        <v>13</v>
      </c>
      <c r="E375" t="s">
        <v>39</v>
      </c>
      <c r="J375" t="s">
        <v>19</v>
      </c>
    </row>
    <row r="376" spans="1:10">
      <c r="A376" t="s">
        <v>309</v>
      </c>
      <c r="B376" t="s">
        <v>15</v>
      </c>
      <c r="C376" t="s">
        <v>16</v>
      </c>
      <c r="D376" t="s">
        <v>17</v>
      </c>
      <c r="E376" t="s">
        <v>18</v>
      </c>
      <c r="J376">
        <v>100000</v>
      </c>
    </row>
    <row r="377" spans="1:10">
      <c r="A377" t="s">
        <v>310</v>
      </c>
      <c r="B377" t="s">
        <v>15</v>
      </c>
      <c r="C377" t="s">
        <v>16</v>
      </c>
      <c r="D377" t="s">
        <v>17</v>
      </c>
      <c r="F377">
        <v>1000</v>
      </c>
      <c r="G377">
        <v>1050</v>
      </c>
      <c r="H377">
        <v>951</v>
      </c>
      <c r="I377">
        <v>951</v>
      </c>
      <c r="J377">
        <v>250000</v>
      </c>
    </row>
    <row r="378" spans="1:10">
      <c r="A378" t="s">
        <v>311</v>
      </c>
      <c r="B378" t="s">
        <v>21</v>
      </c>
      <c r="C378" t="s">
        <v>22</v>
      </c>
      <c r="D378" t="s">
        <v>22</v>
      </c>
      <c r="E378" t="s">
        <v>23</v>
      </c>
      <c r="J378">
        <v>250000</v>
      </c>
    </row>
    <row r="379" spans="1:10">
      <c r="A379" t="s">
        <v>312</v>
      </c>
      <c r="C379" t="s">
        <v>43</v>
      </c>
      <c r="D379" t="s">
        <v>44</v>
      </c>
      <c r="E379" t="s">
        <v>23</v>
      </c>
      <c r="F379">
        <v>1000</v>
      </c>
      <c r="G379">
        <v>1075</v>
      </c>
      <c r="H379">
        <v>947</v>
      </c>
      <c r="I379">
        <v>972</v>
      </c>
    </row>
    <row r="380" spans="1:10">
      <c r="A380" t="s">
        <v>312</v>
      </c>
      <c r="B380" t="s">
        <v>11</v>
      </c>
      <c r="C380" t="s">
        <v>26</v>
      </c>
      <c r="D380" t="s">
        <v>27</v>
      </c>
      <c r="E380" t="s">
        <v>28</v>
      </c>
      <c r="F380">
        <v>2500</v>
      </c>
      <c r="G380">
        <v>2512</v>
      </c>
      <c r="H380">
        <v>2472</v>
      </c>
      <c r="I380">
        <v>2468</v>
      </c>
      <c r="J380" t="s">
        <v>19</v>
      </c>
    </row>
    <row r="381" spans="1:10">
      <c r="A381" t="s">
        <v>313</v>
      </c>
      <c r="B381" t="s">
        <v>15</v>
      </c>
      <c r="C381" t="s">
        <v>26</v>
      </c>
      <c r="D381" t="s">
        <v>27</v>
      </c>
      <c r="E381" t="s">
        <v>28</v>
      </c>
      <c r="F381">
        <v>3500</v>
      </c>
      <c r="G381">
        <v>3561</v>
      </c>
      <c r="H381">
        <v>3471</v>
      </c>
      <c r="I381">
        <v>3512</v>
      </c>
      <c r="J381">
        <v>250000</v>
      </c>
    </row>
    <row r="382" spans="1:10">
      <c r="A382" t="s">
        <v>313</v>
      </c>
      <c r="B382" t="s">
        <v>11</v>
      </c>
      <c r="C382" t="s">
        <v>26</v>
      </c>
      <c r="D382" t="s">
        <v>27</v>
      </c>
      <c r="F382">
        <v>1000</v>
      </c>
      <c r="G382">
        <v>1014</v>
      </c>
      <c r="H382">
        <v>956</v>
      </c>
      <c r="I382">
        <v>962</v>
      </c>
      <c r="J382" t="s">
        <v>19</v>
      </c>
    </row>
    <row r="383" spans="1:10">
      <c r="A383" t="s">
        <v>314</v>
      </c>
      <c r="B383" t="s">
        <v>15</v>
      </c>
      <c r="C383" t="s">
        <v>12</v>
      </c>
      <c r="D383" t="s">
        <v>13</v>
      </c>
      <c r="E383" t="s">
        <v>37</v>
      </c>
      <c r="F383">
        <v>1000</v>
      </c>
      <c r="G383">
        <v>1040</v>
      </c>
      <c r="H383">
        <v>989</v>
      </c>
      <c r="I383">
        <v>979</v>
      </c>
      <c r="J383">
        <v>250000</v>
      </c>
    </row>
    <row r="384" spans="1:10">
      <c r="A384" t="s">
        <v>314</v>
      </c>
      <c r="B384" t="s">
        <v>15</v>
      </c>
      <c r="C384" t="s">
        <v>43</v>
      </c>
      <c r="D384" t="s">
        <v>44</v>
      </c>
      <c r="E384" t="s">
        <v>23</v>
      </c>
      <c r="F384">
        <v>2500</v>
      </c>
      <c r="G384">
        <v>2537</v>
      </c>
      <c r="H384">
        <v>2474</v>
      </c>
      <c r="I384">
        <v>2532</v>
      </c>
      <c r="J384" t="s">
        <v>19</v>
      </c>
    </row>
    <row r="385" spans="1:10">
      <c r="A385" t="s">
        <v>315</v>
      </c>
      <c r="C385" t="s">
        <v>16</v>
      </c>
      <c r="D385" t="s">
        <v>17</v>
      </c>
      <c r="F385">
        <v>2500</v>
      </c>
      <c r="G385">
        <v>2545</v>
      </c>
      <c r="H385">
        <v>2420</v>
      </c>
      <c r="I385">
        <v>2522</v>
      </c>
      <c r="J385">
        <v>100000</v>
      </c>
    </row>
    <row r="386" spans="1:10">
      <c r="A386" t="s">
        <v>316</v>
      </c>
      <c r="C386" t="s">
        <v>16</v>
      </c>
      <c r="D386" t="s">
        <v>17</v>
      </c>
      <c r="J386" t="s">
        <v>19</v>
      </c>
    </row>
    <row r="387" spans="1:10">
      <c r="A387" t="s">
        <v>317</v>
      </c>
      <c r="B387" t="s">
        <v>11</v>
      </c>
      <c r="C387" t="s">
        <v>26</v>
      </c>
      <c r="D387" t="s">
        <v>27</v>
      </c>
      <c r="E387" t="s">
        <v>28</v>
      </c>
      <c r="F387">
        <v>3500</v>
      </c>
      <c r="G387">
        <v>3568</v>
      </c>
      <c r="H387">
        <v>3449</v>
      </c>
      <c r="I387">
        <v>3549</v>
      </c>
      <c r="J387">
        <v>250000</v>
      </c>
    </row>
    <row r="388" spans="1:10">
      <c r="A388" t="s">
        <v>317</v>
      </c>
      <c r="C388" t="s">
        <v>16</v>
      </c>
      <c r="D388" t="s">
        <v>17</v>
      </c>
      <c r="E388" t="s">
        <v>18</v>
      </c>
      <c r="F388">
        <v>3500</v>
      </c>
      <c r="G388">
        <v>3599</v>
      </c>
      <c r="H388">
        <v>3420</v>
      </c>
      <c r="I388">
        <v>3458</v>
      </c>
      <c r="J388" t="s">
        <v>19</v>
      </c>
    </row>
    <row r="389" spans="1:10">
      <c r="A389" t="s">
        <v>318</v>
      </c>
      <c r="B389" t="s">
        <v>15</v>
      </c>
      <c r="C389" t="s">
        <v>16</v>
      </c>
      <c r="D389" t="s">
        <v>17</v>
      </c>
      <c r="J389" t="s">
        <v>19</v>
      </c>
    </row>
    <row r="390" spans="1:10">
      <c r="A390" t="s">
        <v>319</v>
      </c>
      <c r="B390" t="s">
        <v>11</v>
      </c>
      <c r="C390" t="s">
        <v>26</v>
      </c>
      <c r="D390" t="s">
        <v>27</v>
      </c>
      <c r="E390" t="s">
        <v>51</v>
      </c>
      <c r="F390">
        <v>1000</v>
      </c>
      <c r="G390">
        <v>1094</v>
      </c>
      <c r="H390">
        <v>944</v>
      </c>
      <c r="I390">
        <v>985</v>
      </c>
      <c r="J390" t="s">
        <v>19</v>
      </c>
    </row>
    <row r="391" spans="1:10">
      <c r="A391" t="s">
        <v>320</v>
      </c>
      <c r="B391" t="s">
        <v>21</v>
      </c>
      <c r="C391" t="s">
        <v>22</v>
      </c>
      <c r="D391" t="s">
        <v>22</v>
      </c>
      <c r="J391">
        <v>100000</v>
      </c>
    </row>
    <row r="392" spans="1:10">
      <c r="A392" t="s">
        <v>321</v>
      </c>
      <c r="B392" t="s">
        <v>15</v>
      </c>
      <c r="C392" t="s">
        <v>43</v>
      </c>
      <c r="D392" t="s">
        <v>44</v>
      </c>
      <c r="F392">
        <v>1000</v>
      </c>
      <c r="G392">
        <v>1069</v>
      </c>
      <c r="H392">
        <v>982</v>
      </c>
      <c r="I392">
        <v>976</v>
      </c>
      <c r="J392">
        <v>100000</v>
      </c>
    </row>
    <row r="393" spans="1:10">
      <c r="A393" t="s">
        <v>321</v>
      </c>
      <c r="B393" t="s">
        <v>21</v>
      </c>
      <c r="C393" t="s">
        <v>12</v>
      </c>
      <c r="D393" t="s">
        <v>13</v>
      </c>
      <c r="E393" t="s">
        <v>37</v>
      </c>
      <c r="F393">
        <v>2500</v>
      </c>
      <c r="G393">
        <v>2535</v>
      </c>
      <c r="H393">
        <v>2481</v>
      </c>
      <c r="I393">
        <v>2515</v>
      </c>
      <c r="J393">
        <v>100000</v>
      </c>
    </row>
    <row r="394" spans="1:10">
      <c r="A394" t="s">
        <v>322</v>
      </c>
      <c r="B394" t="s">
        <v>11</v>
      </c>
      <c r="C394" t="s">
        <v>26</v>
      </c>
      <c r="D394" t="s">
        <v>27</v>
      </c>
      <c r="E394" t="s">
        <v>51</v>
      </c>
      <c r="J394">
        <v>250000</v>
      </c>
    </row>
    <row r="395" spans="1:10">
      <c r="A395" t="s">
        <v>323</v>
      </c>
      <c r="B395" t="s">
        <v>15</v>
      </c>
      <c r="C395" t="s">
        <v>26</v>
      </c>
      <c r="D395" t="s">
        <v>27</v>
      </c>
      <c r="F395">
        <v>2500</v>
      </c>
      <c r="G395">
        <v>2529</v>
      </c>
      <c r="H395">
        <v>2469</v>
      </c>
      <c r="I395">
        <v>2484</v>
      </c>
      <c r="J395">
        <v>250000</v>
      </c>
    </row>
    <row r="396" spans="1:10">
      <c r="A396" t="s">
        <v>324</v>
      </c>
      <c r="B396" t="s">
        <v>11</v>
      </c>
      <c r="C396" t="s">
        <v>16</v>
      </c>
      <c r="D396" t="s">
        <v>17</v>
      </c>
      <c r="E396" t="s">
        <v>30</v>
      </c>
      <c r="F396">
        <v>3500</v>
      </c>
      <c r="G396">
        <v>3596</v>
      </c>
      <c r="H396">
        <v>3432</v>
      </c>
      <c r="I396">
        <v>3496</v>
      </c>
      <c r="J396">
        <v>100000</v>
      </c>
    </row>
    <row r="397" spans="1:10">
      <c r="A397" t="s">
        <v>325</v>
      </c>
      <c r="B397" t="s">
        <v>11</v>
      </c>
      <c r="C397" t="s">
        <v>43</v>
      </c>
      <c r="D397" t="s">
        <v>44</v>
      </c>
      <c r="E397" t="s">
        <v>23</v>
      </c>
      <c r="F397">
        <v>2500</v>
      </c>
      <c r="G397">
        <v>2540</v>
      </c>
      <c r="H397">
        <v>2433</v>
      </c>
      <c r="I397">
        <v>2456</v>
      </c>
      <c r="J397">
        <v>250000</v>
      </c>
    </row>
    <row r="398" spans="1:10">
      <c r="A398" t="s">
        <v>326</v>
      </c>
      <c r="B398" t="s">
        <v>21</v>
      </c>
      <c r="C398" t="s">
        <v>26</v>
      </c>
      <c r="D398" t="s">
        <v>27</v>
      </c>
      <c r="E398" t="s">
        <v>51</v>
      </c>
    </row>
    <row r="399" spans="1:10">
      <c r="A399" t="s">
        <v>327</v>
      </c>
      <c r="B399" t="s">
        <v>11</v>
      </c>
      <c r="C399" t="s">
        <v>16</v>
      </c>
      <c r="D399" t="s">
        <v>17</v>
      </c>
      <c r="J399" t="s">
        <v>19</v>
      </c>
    </row>
    <row r="400" spans="1:10">
      <c r="A400" t="s">
        <v>328</v>
      </c>
      <c r="C400" t="s">
        <v>16</v>
      </c>
      <c r="D400" t="s">
        <v>17</v>
      </c>
      <c r="E400" t="s">
        <v>18</v>
      </c>
      <c r="F400">
        <v>3500</v>
      </c>
      <c r="G400">
        <v>3543</v>
      </c>
      <c r="H400">
        <v>3428</v>
      </c>
      <c r="I400">
        <v>3509</v>
      </c>
      <c r="J400">
        <v>100000</v>
      </c>
    </row>
    <row r="401" spans="1:10">
      <c r="A401" t="s">
        <v>329</v>
      </c>
      <c r="B401" t="s">
        <v>11</v>
      </c>
      <c r="C401" t="s">
        <v>12</v>
      </c>
      <c r="D401" t="s">
        <v>13</v>
      </c>
      <c r="E401" t="s">
        <v>37</v>
      </c>
      <c r="F401">
        <v>1000</v>
      </c>
      <c r="G401">
        <v>1078</v>
      </c>
      <c r="H401">
        <v>954</v>
      </c>
      <c r="I401">
        <v>964</v>
      </c>
      <c r="J401">
        <v>250000</v>
      </c>
    </row>
    <row r="402" spans="1:10">
      <c r="A402" t="s">
        <v>329</v>
      </c>
      <c r="C402" t="s">
        <v>43</v>
      </c>
      <c r="D402" t="s">
        <v>44</v>
      </c>
      <c r="E402" t="s">
        <v>23</v>
      </c>
      <c r="F402">
        <v>1000</v>
      </c>
      <c r="G402">
        <v>1072</v>
      </c>
      <c r="H402">
        <v>956</v>
      </c>
      <c r="I402">
        <v>975</v>
      </c>
      <c r="J402">
        <v>100000</v>
      </c>
    </row>
    <row r="403" spans="1:10">
      <c r="A403" t="s">
        <v>330</v>
      </c>
      <c r="B403" t="s">
        <v>15</v>
      </c>
      <c r="C403" t="s">
        <v>26</v>
      </c>
      <c r="D403" t="s">
        <v>27</v>
      </c>
      <c r="E403" t="s">
        <v>51</v>
      </c>
      <c r="J403" t="s">
        <v>19</v>
      </c>
    </row>
    <row r="404" spans="1:10">
      <c r="A404" t="s">
        <v>331</v>
      </c>
      <c r="C404" t="s">
        <v>12</v>
      </c>
      <c r="D404" t="s">
        <v>13</v>
      </c>
      <c r="F404">
        <v>1000</v>
      </c>
      <c r="G404">
        <v>1027</v>
      </c>
      <c r="H404">
        <v>965</v>
      </c>
      <c r="I404">
        <v>1008</v>
      </c>
      <c r="J404" t="s">
        <v>19</v>
      </c>
    </row>
    <row r="405" spans="1:10">
      <c r="A405" t="s">
        <v>332</v>
      </c>
      <c r="B405" t="s">
        <v>11</v>
      </c>
      <c r="C405" t="s">
        <v>16</v>
      </c>
      <c r="D405" t="s">
        <v>17</v>
      </c>
      <c r="E405" t="s">
        <v>30</v>
      </c>
      <c r="F405">
        <v>3500</v>
      </c>
      <c r="G405">
        <v>3572</v>
      </c>
      <c r="H405">
        <v>3466</v>
      </c>
      <c r="I405">
        <v>3477</v>
      </c>
      <c r="J405" t="s">
        <v>19</v>
      </c>
    </row>
    <row r="406" spans="1:10">
      <c r="A406" t="s">
        <v>333</v>
      </c>
      <c r="C406" t="s">
        <v>26</v>
      </c>
      <c r="D406" t="s">
        <v>27</v>
      </c>
      <c r="E406" t="s">
        <v>28</v>
      </c>
      <c r="F406">
        <v>1000</v>
      </c>
      <c r="G406">
        <v>1078</v>
      </c>
      <c r="H406">
        <v>982</v>
      </c>
      <c r="I406">
        <v>1003</v>
      </c>
      <c r="J406" t="s">
        <v>19</v>
      </c>
    </row>
    <row r="407" spans="1:10">
      <c r="A407" t="s">
        <v>333</v>
      </c>
      <c r="B407" t="s">
        <v>21</v>
      </c>
      <c r="C407" t="s">
        <v>22</v>
      </c>
      <c r="D407" t="s">
        <v>22</v>
      </c>
      <c r="E407" t="s">
        <v>23</v>
      </c>
      <c r="F407">
        <v>1000</v>
      </c>
      <c r="G407">
        <v>1096</v>
      </c>
      <c r="H407">
        <v>966</v>
      </c>
      <c r="I407">
        <v>1044</v>
      </c>
      <c r="J407" t="s">
        <v>19</v>
      </c>
    </row>
    <row r="408" spans="1:10">
      <c r="A408" t="s">
        <v>334</v>
      </c>
      <c r="C408" t="s">
        <v>12</v>
      </c>
      <c r="D408" t="s">
        <v>13</v>
      </c>
      <c r="E408" t="s">
        <v>39</v>
      </c>
    </row>
    <row r="409" spans="1:10">
      <c r="A409" t="s">
        <v>334</v>
      </c>
      <c r="B409" t="s">
        <v>15</v>
      </c>
      <c r="C409" t="s">
        <v>43</v>
      </c>
      <c r="D409" t="s">
        <v>44</v>
      </c>
      <c r="J409">
        <v>100000</v>
      </c>
    </row>
    <row r="410" spans="1:10">
      <c r="A410" t="s">
        <v>335</v>
      </c>
      <c r="B410" t="s">
        <v>15</v>
      </c>
      <c r="C410" t="s">
        <v>16</v>
      </c>
      <c r="D410" t="s">
        <v>17</v>
      </c>
      <c r="E410" t="s">
        <v>30</v>
      </c>
      <c r="F410">
        <v>3500</v>
      </c>
      <c r="G410">
        <v>3559</v>
      </c>
      <c r="H410">
        <v>3445</v>
      </c>
      <c r="I410">
        <v>3454</v>
      </c>
      <c r="J410">
        <v>100000</v>
      </c>
    </row>
    <row r="411" spans="1:10">
      <c r="A411" t="s">
        <v>336</v>
      </c>
      <c r="C411" t="s">
        <v>26</v>
      </c>
      <c r="D411" t="s">
        <v>27</v>
      </c>
      <c r="J411" t="s">
        <v>19</v>
      </c>
    </row>
    <row r="412" spans="1:10">
      <c r="A412" t="s">
        <v>337</v>
      </c>
      <c r="B412" t="s">
        <v>15</v>
      </c>
      <c r="C412" t="s">
        <v>22</v>
      </c>
      <c r="D412" t="s">
        <v>22</v>
      </c>
      <c r="J412">
        <v>100000</v>
      </c>
    </row>
    <row r="413" spans="1:10">
      <c r="A413" t="s">
        <v>337</v>
      </c>
      <c r="B413" t="s">
        <v>21</v>
      </c>
      <c r="C413" t="s">
        <v>12</v>
      </c>
      <c r="D413" t="s">
        <v>13</v>
      </c>
      <c r="E413" t="s">
        <v>37</v>
      </c>
      <c r="F413">
        <v>1000</v>
      </c>
      <c r="G413">
        <v>1082</v>
      </c>
      <c r="H413">
        <v>937</v>
      </c>
      <c r="I413">
        <v>965</v>
      </c>
      <c r="J413" t="s">
        <v>19</v>
      </c>
    </row>
    <row r="414" spans="1:10">
      <c r="A414" t="s">
        <v>338</v>
      </c>
      <c r="C414" t="s">
        <v>12</v>
      </c>
      <c r="D414" t="s">
        <v>13</v>
      </c>
      <c r="F414">
        <v>1000</v>
      </c>
      <c r="G414">
        <v>1050</v>
      </c>
      <c r="H414">
        <v>924</v>
      </c>
      <c r="I414">
        <v>1011</v>
      </c>
      <c r="J414">
        <v>250000</v>
      </c>
    </row>
    <row r="415" spans="1:10">
      <c r="A415" t="s">
        <v>339</v>
      </c>
      <c r="B415" t="s">
        <v>11</v>
      </c>
      <c r="C415" t="s">
        <v>16</v>
      </c>
      <c r="D415" t="s">
        <v>17</v>
      </c>
      <c r="E415" t="s">
        <v>30</v>
      </c>
      <c r="J415">
        <v>100000</v>
      </c>
    </row>
    <row r="416" spans="1:10">
      <c r="A416" t="s">
        <v>340</v>
      </c>
      <c r="B416" t="s">
        <v>15</v>
      </c>
      <c r="C416" t="s">
        <v>12</v>
      </c>
      <c r="D416" t="s">
        <v>13</v>
      </c>
      <c r="E416" t="s">
        <v>39</v>
      </c>
      <c r="F416">
        <v>1000</v>
      </c>
      <c r="G416">
        <v>1081</v>
      </c>
      <c r="H416">
        <v>961</v>
      </c>
      <c r="I416">
        <v>983</v>
      </c>
    </row>
    <row r="417" spans="1:10">
      <c r="A417" t="s">
        <v>340</v>
      </c>
      <c r="B417" t="s">
        <v>21</v>
      </c>
      <c r="C417" t="s">
        <v>43</v>
      </c>
      <c r="D417" t="s">
        <v>44</v>
      </c>
      <c r="E417" t="s">
        <v>23</v>
      </c>
      <c r="F417">
        <v>2500</v>
      </c>
      <c r="G417">
        <v>2593</v>
      </c>
      <c r="H417">
        <v>2455</v>
      </c>
      <c r="I417">
        <v>2480</v>
      </c>
      <c r="J417" t="s">
        <v>19</v>
      </c>
    </row>
    <row r="418" spans="1:10">
      <c r="A418" t="s">
        <v>341</v>
      </c>
      <c r="B418" t="s">
        <v>21</v>
      </c>
      <c r="C418" t="s">
        <v>43</v>
      </c>
      <c r="D418" t="s">
        <v>44</v>
      </c>
      <c r="E418" t="s">
        <v>23</v>
      </c>
      <c r="F418">
        <v>2500</v>
      </c>
      <c r="G418">
        <v>2586</v>
      </c>
      <c r="H418">
        <v>2421</v>
      </c>
      <c r="I418">
        <v>2538</v>
      </c>
    </row>
    <row r="419" spans="1:10">
      <c r="A419" t="s">
        <v>342</v>
      </c>
      <c r="B419" t="s">
        <v>15</v>
      </c>
      <c r="C419" t="s">
        <v>12</v>
      </c>
      <c r="D419" t="s">
        <v>13</v>
      </c>
      <c r="F419">
        <v>3500</v>
      </c>
      <c r="G419">
        <v>3594</v>
      </c>
      <c r="H419">
        <v>3471</v>
      </c>
      <c r="I419">
        <v>3471</v>
      </c>
      <c r="J419">
        <v>250000</v>
      </c>
    </row>
    <row r="420" spans="1:10">
      <c r="A420" t="s">
        <v>343</v>
      </c>
      <c r="C420" t="s">
        <v>12</v>
      </c>
      <c r="D420" t="s">
        <v>13</v>
      </c>
      <c r="E420" t="s">
        <v>39</v>
      </c>
      <c r="F420">
        <v>1000</v>
      </c>
      <c r="G420">
        <v>1085</v>
      </c>
      <c r="H420">
        <v>970</v>
      </c>
      <c r="I420">
        <v>1006</v>
      </c>
      <c r="J420">
        <v>100000</v>
      </c>
    </row>
    <row r="421" spans="1:10">
      <c r="A421" t="s">
        <v>343</v>
      </c>
      <c r="B421" t="s">
        <v>15</v>
      </c>
      <c r="C421" t="s">
        <v>43</v>
      </c>
      <c r="D421" t="s">
        <v>44</v>
      </c>
      <c r="E421" t="s">
        <v>23</v>
      </c>
      <c r="J421" t="s">
        <v>19</v>
      </c>
    </row>
    <row r="422" spans="1:10">
      <c r="A422" t="s">
        <v>344</v>
      </c>
      <c r="B422" t="s">
        <v>15</v>
      </c>
      <c r="C422" t="s">
        <v>12</v>
      </c>
      <c r="D422" t="s">
        <v>13</v>
      </c>
      <c r="E422" t="s">
        <v>39</v>
      </c>
      <c r="F422">
        <v>2500</v>
      </c>
      <c r="G422">
        <v>2561</v>
      </c>
      <c r="H422">
        <v>2423</v>
      </c>
      <c r="I422">
        <v>2499</v>
      </c>
      <c r="J422">
        <v>250000</v>
      </c>
    </row>
    <row r="423" spans="1:10">
      <c r="A423" t="s">
        <v>345</v>
      </c>
      <c r="B423" t="s">
        <v>21</v>
      </c>
      <c r="C423" t="s">
        <v>26</v>
      </c>
      <c r="D423" t="s">
        <v>27</v>
      </c>
      <c r="E423" t="s">
        <v>51</v>
      </c>
      <c r="F423">
        <v>2500</v>
      </c>
      <c r="G423">
        <v>2516</v>
      </c>
      <c r="H423">
        <v>2427</v>
      </c>
      <c r="I423">
        <v>2469</v>
      </c>
      <c r="J423" t="s">
        <v>19</v>
      </c>
    </row>
    <row r="424" spans="1:10">
      <c r="A424" t="s">
        <v>345</v>
      </c>
      <c r="B424" t="s">
        <v>15</v>
      </c>
      <c r="C424" t="s">
        <v>26</v>
      </c>
      <c r="D424" t="s">
        <v>27</v>
      </c>
      <c r="F424">
        <v>2500</v>
      </c>
      <c r="G424">
        <v>2597</v>
      </c>
      <c r="H424">
        <v>2484</v>
      </c>
      <c r="I424">
        <v>2550</v>
      </c>
      <c r="J424">
        <v>100000</v>
      </c>
    </row>
    <row r="425" spans="1:10">
      <c r="A425" t="s">
        <v>346</v>
      </c>
      <c r="B425" t="s">
        <v>21</v>
      </c>
      <c r="C425" t="s">
        <v>26</v>
      </c>
      <c r="D425" t="s">
        <v>27</v>
      </c>
      <c r="F425">
        <v>1000</v>
      </c>
      <c r="G425">
        <v>1019</v>
      </c>
      <c r="H425">
        <v>975</v>
      </c>
      <c r="I425">
        <v>961</v>
      </c>
      <c r="J425">
        <v>100000</v>
      </c>
    </row>
    <row r="426" spans="1:10">
      <c r="A426" t="s">
        <v>347</v>
      </c>
      <c r="B426" t="s">
        <v>11</v>
      </c>
      <c r="C426" t="s">
        <v>12</v>
      </c>
      <c r="D426" t="s">
        <v>13</v>
      </c>
      <c r="F426">
        <v>2500</v>
      </c>
      <c r="G426">
        <v>2566</v>
      </c>
      <c r="H426">
        <v>2433</v>
      </c>
      <c r="I426">
        <v>2472</v>
      </c>
    </row>
    <row r="427" spans="1:10">
      <c r="A427" t="s">
        <v>348</v>
      </c>
      <c r="B427" t="s">
        <v>11</v>
      </c>
      <c r="C427" t="s">
        <v>43</v>
      </c>
      <c r="D427" t="s">
        <v>44</v>
      </c>
      <c r="F427">
        <v>3500</v>
      </c>
      <c r="G427">
        <v>3561</v>
      </c>
      <c r="H427">
        <v>3439</v>
      </c>
      <c r="I427">
        <v>3522</v>
      </c>
    </row>
    <row r="428" spans="1:10">
      <c r="A428" t="s">
        <v>348</v>
      </c>
      <c r="B428" t="s">
        <v>11</v>
      </c>
      <c r="C428" t="s">
        <v>43</v>
      </c>
      <c r="D428" t="s">
        <v>44</v>
      </c>
      <c r="E428" t="s">
        <v>23</v>
      </c>
      <c r="J428" t="s">
        <v>19</v>
      </c>
    </row>
    <row r="429" spans="1:10">
      <c r="A429" t="s">
        <v>349</v>
      </c>
      <c r="B429" t="s">
        <v>15</v>
      </c>
      <c r="C429" t="s">
        <v>16</v>
      </c>
      <c r="D429" t="s">
        <v>17</v>
      </c>
      <c r="E429" t="s">
        <v>30</v>
      </c>
      <c r="F429">
        <v>1000</v>
      </c>
      <c r="G429">
        <v>1081</v>
      </c>
      <c r="H429">
        <v>922</v>
      </c>
      <c r="I429">
        <v>992</v>
      </c>
      <c r="J429">
        <v>250000</v>
      </c>
    </row>
    <row r="430" spans="1:10">
      <c r="A430" t="s">
        <v>349</v>
      </c>
      <c r="B430" t="s">
        <v>11</v>
      </c>
      <c r="C430" t="s">
        <v>43</v>
      </c>
      <c r="D430" t="s">
        <v>44</v>
      </c>
      <c r="E430" t="s">
        <v>23</v>
      </c>
    </row>
    <row r="431" spans="1:10">
      <c r="A431" t="s">
        <v>350</v>
      </c>
      <c r="B431" t="s">
        <v>11</v>
      </c>
      <c r="C431" t="s">
        <v>26</v>
      </c>
      <c r="D431" t="s">
        <v>27</v>
      </c>
      <c r="E431" t="s">
        <v>51</v>
      </c>
      <c r="F431">
        <v>1000</v>
      </c>
      <c r="G431">
        <v>1081</v>
      </c>
      <c r="H431">
        <v>961</v>
      </c>
      <c r="I431">
        <v>1038</v>
      </c>
    </row>
    <row r="432" spans="1:10">
      <c r="A432" t="s">
        <v>351</v>
      </c>
      <c r="B432" t="s">
        <v>11</v>
      </c>
      <c r="C432" t="s">
        <v>22</v>
      </c>
      <c r="D432" t="s">
        <v>22</v>
      </c>
      <c r="E432" t="s">
        <v>23</v>
      </c>
      <c r="F432">
        <v>1000</v>
      </c>
      <c r="G432">
        <v>1035</v>
      </c>
      <c r="H432">
        <v>977</v>
      </c>
      <c r="I432">
        <v>1003</v>
      </c>
      <c r="J432">
        <v>250000</v>
      </c>
    </row>
    <row r="433" spans="1:10">
      <c r="A433" t="s">
        <v>352</v>
      </c>
      <c r="B433" t="s">
        <v>15</v>
      </c>
      <c r="C433" t="s">
        <v>26</v>
      </c>
      <c r="D433" t="s">
        <v>27</v>
      </c>
      <c r="E433" t="s">
        <v>51</v>
      </c>
      <c r="F433">
        <v>2500</v>
      </c>
      <c r="G433">
        <v>2576</v>
      </c>
      <c r="H433">
        <v>2439</v>
      </c>
      <c r="I433">
        <v>2535</v>
      </c>
      <c r="J433" t="s">
        <v>19</v>
      </c>
    </row>
    <row r="434" spans="1:10">
      <c r="A434" t="s">
        <v>353</v>
      </c>
      <c r="C434" t="s">
        <v>12</v>
      </c>
      <c r="D434" t="s">
        <v>13</v>
      </c>
      <c r="F434">
        <v>2500</v>
      </c>
      <c r="G434">
        <v>2581</v>
      </c>
      <c r="H434">
        <v>2421</v>
      </c>
      <c r="I434">
        <v>2500</v>
      </c>
      <c r="J434">
        <v>100000</v>
      </c>
    </row>
    <row r="435" spans="1:10">
      <c r="A435" t="s">
        <v>354</v>
      </c>
      <c r="B435" t="s">
        <v>11</v>
      </c>
      <c r="C435" t="s">
        <v>22</v>
      </c>
      <c r="D435" t="s">
        <v>22</v>
      </c>
      <c r="E435" t="s">
        <v>23</v>
      </c>
      <c r="F435">
        <v>3500</v>
      </c>
      <c r="G435">
        <v>3595</v>
      </c>
      <c r="H435">
        <v>3478</v>
      </c>
      <c r="I435">
        <v>3478</v>
      </c>
      <c r="J435">
        <v>250000</v>
      </c>
    </row>
    <row r="436" spans="1:10">
      <c r="A436" t="s">
        <v>355</v>
      </c>
      <c r="B436" t="s">
        <v>21</v>
      </c>
      <c r="C436" t="s">
        <v>22</v>
      </c>
      <c r="D436" t="s">
        <v>22</v>
      </c>
      <c r="E436" t="s">
        <v>23</v>
      </c>
      <c r="F436">
        <v>2500</v>
      </c>
      <c r="G436">
        <v>2587</v>
      </c>
      <c r="H436">
        <v>2481</v>
      </c>
      <c r="I436">
        <v>2506</v>
      </c>
      <c r="J436">
        <v>100000</v>
      </c>
    </row>
    <row r="437" spans="1:10">
      <c r="A437" t="s">
        <v>355</v>
      </c>
      <c r="B437" t="s">
        <v>11</v>
      </c>
      <c r="C437" t="s">
        <v>16</v>
      </c>
      <c r="D437" t="s">
        <v>17</v>
      </c>
      <c r="E437" t="s">
        <v>18</v>
      </c>
      <c r="J437">
        <v>100000</v>
      </c>
    </row>
    <row r="438" spans="1:10">
      <c r="A438" t="s">
        <v>356</v>
      </c>
      <c r="B438" t="s">
        <v>21</v>
      </c>
      <c r="C438" t="s">
        <v>12</v>
      </c>
      <c r="D438" t="s">
        <v>13</v>
      </c>
      <c r="E438" t="s">
        <v>37</v>
      </c>
      <c r="F438">
        <v>3500</v>
      </c>
      <c r="G438">
        <v>3589</v>
      </c>
      <c r="H438">
        <v>3480</v>
      </c>
      <c r="I438">
        <v>3529</v>
      </c>
      <c r="J438" t="s">
        <v>19</v>
      </c>
    </row>
    <row r="439" spans="1:10">
      <c r="A439" t="s">
        <v>357</v>
      </c>
      <c r="B439" t="s">
        <v>15</v>
      </c>
      <c r="C439" t="s">
        <v>16</v>
      </c>
      <c r="D439" t="s">
        <v>17</v>
      </c>
      <c r="J439">
        <v>100000</v>
      </c>
    </row>
    <row r="440" spans="1:10">
      <c r="A440" t="s">
        <v>357</v>
      </c>
      <c r="B440" t="s">
        <v>15</v>
      </c>
      <c r="C440" t="s">
        <v>12</v>
      </c>
      <c r="D440" t="s">
        <v>13</v>
      </c>
      <c r="E440" t="s">
        <v>37</v>
      </c>
      <c r="F440">
        <v>2500</v>
      </c>
      <c r="G440">
        <v>2514</v>
      </c>
      <c r="H440">
        <v>2430</v>
      </c>
      <c r="I440">
        <v>2511</v>
      </c>
      <c r="J440">
        <v>250000</v>
      </c>
    </row>
    <row r="441" spans="1:10">
      <c r="A441" t="s">
        <v>358</v>
      </c>
      <c r="B441" t="s">
        <v>21</v>
      </c>
      <c r="C441" t="s">
        <v>43</v>
      </c>
      <c r="D441" t="s">
        <v>44</v>
      </c>
      <c r="E441" t="s">
        <v>23</v>
      </c>
      <c r="F441">
        <v>1000</v>
      </c>
      <c r="G441">
        <v>1084</v>
      </c>
      <c r="H441">
        <v>939</v>
      </c>
      <c r="I441">
        <v>989</v>
      </c>
      <c r="J441">
        <v>100000</v>
      </c>
    </row>
    <row r="442" spans="1:10">
      <c r="A442" t="s">
        <v>359</v>
      </c>
      <c r="B442" t="s">
        <v>21</v>
      </c>
      <c r="C442" t="s">
        <v>22</v>
      </c>
      <c r="D442" t="s">
        <v>22</v>
      </c>
      <c r="F442">
        <v>1000</v>
      </c>
      <c r="G442">
        <v>1032</v>
      </c>
      <c r="H442">
        <v>955</v>
      </c>
      <c r="I442">
        <v>967</v>
      </c>
      <c r="J442">
        <v>250000</v>
      </c>
    </row>
    <row r="443" spans="1:10">
      <c r="A443" t="s">
        <v>360</v>
      </c>
      <c r="C443" t="s">
        <v>43</v>
      </c>
      <c r="D443" t="s">
        <v>44</v>
      </c>
      <c r="E443" t="s">
        <v>23</v>
      </c>
      <c r="J443" t="s">
        <v>19</v>
      </c>
    </row>
    <row r="444" spans="1:10">
      <c r="A444" t="s">
        <v>361</v>
      </c>
      <c r="B444" t="s">
        <v>15</v>
      </c>
      <c r="C444" t="s">
        <v>16</v>
      </c>
      <c r="D444" t="s">
        <v>17</v>
      </c>
      <c r="F444">
        <v>2500</v>
      </c>
      <c r="G444">
        <v>2539</v>
      </c>
      <c r="H444">
        <v>2467</v>
      </c>
      <c r="I444">
        <v>2452</v>
      </c>
      <c r="J444">
        <v>100000</v>
      </c>
    </row>
    <row r="445" spans="1:10">
      <c r="A445" t="s">
        <v>362</v>
      </c>
      <c r="C445" t="s">
        <v>16</v>
      </c>
      <c r="D445" t="s">
        <v>17</v>
      </c>
      <c r="E445" t="s">
        <v>18</v>
      </c>
      <c r="F445">
        <v>2500</v>
      </c>
      <c r="G445">
        <v>2526</v>
      </c>
      <c r="H445">
        <v>2482</v>
      </c>
      <c r="I445">
        <v>2500</v>
      </c>
      <c r="J445" t="s">
        <v>19</v>
      </c>
    </row>
    <row r="446" spans="1:10">
      <c r="A446" t="s">
        <v>362</v>
      </c>
      <c r="B446" t="s">
        <v>21</v>
      </c>
      <c r="C446" t="s">
        <v>16</v>
      </c>
      <c r="D446" t="s">
        <v>17</v>
      </c>
      <c r="F446">
        <v>1000</v>
      </c>
      <c r="G446">
        <v>1038</v>
      </c>
      <c r="H446">
        <v>988</v>
      </c>
      <c r="I446">
        <v>1043</v>
      </c>
      <c r="J446">
        <v>100000</v>
      </c>
    </row>
    <row r="447" spans="1:10">
      <c r="A447" t="s">
        <v>363</v>
      </c>
      <c r="B447" t="s">
        <v>21</v>
      </c>
      <c r="C447" t="s">
        <v>26</v>
      </c>
      <c r="D447" t="s">
        <v>27</v>
      </c>
      <c r="E447" t="s">
        <v>28</v>
      </c>
      <c r="F447">
        <v>1000</v>
      </c>
      <c r="G447">
        <v>1081</v>
      </c>
      <c r="H447">
        <v>954</v>
      </c>
      <c r="I447">
        <v>1004</v>
      </c>
    </row>
    <row r="448" spans="1:10">
      <c r="A448" t="s">
        <v>364</v>
      </c>
      <c r="C448" t="s">
        <v>22</v>
      </c>
      <c r="D448" t="s">
        <v>22</v>
      </c>
      <c r="J448">
        <v>100000</v>
      </c>
    </row>
    <row r="449" spans="1:10">
      <c r="A449" t="s">
        <v>364</v>
      </c>
      <c r="C449" t="s">
        <v>12</v>
      </c>
      <c r="D449" t="s">
        <v>13</v>
      </c>
      <c r="F449">
        <v>1000</v>
      </c>
      <c r="G449">
        <v>1019</v>
      </c>
      <c r="H449">
        <v>962</v>
      </c>
      <c r="I449">
        <v>995</v>
      </c>
    </row>
    <row r="450" spans="1:10">
      <c r="A450" t="s">
        <v>365</v>
      </c>
      <c r="C450" t="s">
        <v>22</v>
      </c>
      <c r="D450" t="s">
        <v>22</v>
      </c>
      <c r="E450" t="s">
        <v>23</v>
      </c>
      <c r="F450">
        <v>1000</v>
      </c>
      <c r="G450">
        <v>1100</v>
      </c>
      <c r="H450">
        <v>921</v>
      </c>
      <c r="I450">
        <v>1047</v>
      </c>
      <c r="J450">
        <v>100000</v>
      </c>
    </row>
    <row r="451" spans="1:10">
      <c r="A451" t="s">
        <v>366</v>
      </c>
      <c r="B451" t="s">
        <v>21</v>
      </c>
      <c r="C451" t="s">
        <v>22</v>
      </c>
      <c r="D451" t="s">
        <v>22</v>
      </c>
      <c r="F451">
        <v>2500</v>
      </c>
      <c r="G451">
        <v>2528</v>
      </c>
      <c r="H451">
        <v>2430</v>
      </c>
      <c r="I451">
        <v>2539</v>
      </c>
    </row>
    <row r="452" spans="1:10">
      <c r="A452" t="s">
        <v>367</v>
      </c>
      <c r="C452" t="s">
        <v>43</v>
      </c>
      <c r="D452" t="s">
        <v>44</v>
      </c>
      <c r="E452" t="s">
        <v>23</v>
      </c>
      <c r="F452">
        <v>3500</v>
      </c>
      <c r="G452">
        <v>3548</v>
      </c>
      <c r="H452">
        <v>3469</v>
      </c>
      <c r="I452">
        <v>3504</v>
      </c>
    </row>
    <row r="453" spans="1:10">
      <c r="A453" t="s">
        <v>367</v>
      </c>
      <c r="B453" t="s">
        <v>21</v>
      </c>
      <c r="C453" t="s">
        <v>43</v>
      </c>
      <c r="D453" t="s">
        <v>44</v>
      </c>
      <c r="E453" t="s">
        <v>23</v>
      </c>
      <c r="F453">
        <v>2500</v>
      </c>
      <c r="G453">
        <v>2572</v>
      </c>
      <c r="H453">
        <v>2445</v>
      </c>
      <c r="I453">
        <v>2504</v>
      </c>
      <c r="J453" t="s">
        <v>19</v>
      </c>
    </row>
    <row r="454" spans="1:10">
      <c r="A454" t="s">
        <v>368</v>
      </c>
      <c r="B454" t="s">
        <v>11</v>
      </c>
      <c r="C454" t="s">
        <v>12</v>
      </c>
      <c r="D454" t="s">
        <v>13</v>
      </c>
      <c r="E454" t="s">
        <v>37</v>
      </c>
      <c r="J454">
        <v>100000</v>
      </c>
    </row>
    <row r="455" spans="1:10">
      <c r="A455" t="s">
        <v>368</v>
      </c>
      <c r="B455" t="s">
        <v>21</v>
      </c>
      <c r="C455" t="s">
        <v>16</v>
      </c>
      <c r="D455" t="s">
        <v>17</v>
      </c>
      <c r="E455" t="s">
        <v>18</v>
      </c>
      <c r="F455">
        <v>1000</v>
      </c>
      <c r="G455">
        <v>1055</v>
      </c>
      <c r="H455">
        <v>964</v>
      </c>
      <c r="I455">
        <v>985</v>
      </c>
      <c r="J455">
        <v>250000</v>
      </c>
    </row>
    <row r="456" spans="1:10">
      <c r="A456" t="s">
        <v>369</v>
      </c>
      <c r="C456" t="s">
        <v>22</v>
      </c>
      <c r="D456" t="s">
        <v>22</v>
      </c>
      <c r="E456" t="s">
        <v>23</v>
      </c>
      <c r="F456">
        <v>2500</v>
      </c>
      <c r="G456">
        <v>2565</v>
      </c>
      <c r="H456">
        <v>2463</v>
      </c>
      <c r="I456">
        <v>2472</v>
      </c>
      <c r="J456" t="s">
        <v>19</v>
      </c>
    </row>
    <row r="457" spans="1:10">
      <c r="A457" t="s">
        <v>370</v>
      </c>
      <c r="C457" t="s">
        <v>12</v>
      </c>
      <c r="D457" t="s">
        <v>13</v>
      </c>
      <c r="E457" t="s">
        <v>39</v>
      </c>
      <c r="F457">
        <v>2500</v>
      </c>
      <c r="G457">
        <v>2519</v>
      </c>
      <c r="H457">
        <v>2447</v>
      </c>
      <c r="I457">
        <v>2538</v>
      </c>
    </row>
    <row r="458" spans="1:10">
      <c r="A458" t="s">
        <v>370</v>
      </c>
      <c r="C458" t="s">
        <v>43</v>
      </c>
      <c r="D458" t="s">
        <v>44</v>
      </c>
      <c r="E458" t="s">
        <v>23</v>
      </c>
      <c r="J458" t="s">
        <v>19</v>
      </c>
    </row>
    <row r="459" spans="1:10">
      <c r="A459" t="s">
        <v>371</v>
      </c>
      <c r="B459" t="s">
        <v>15</v>
      </c>
      <c r="C459" t="s">
        <v>22</v>
      </c>
      <c r="D459" t="s">
        <v>22</v>
      </c>
      <c r="E459" t="s">
        <v>23</v>
      </c>
      <c r="F459">
        <v>3500</v>
      </c>
      <c r="G459">
        <v>3543</v>
      </c>
      <c r="H459">
        <v>3433</v>
      </c>
      <c r="I459">
        <v>3541</v>
      </c>
    </row>
    <row r="460" spans="1:10">
      <c r="A460" t="s">
        <v>372</v>
      </c>
      <c r="C460" t="s">
        <v>12</v>
      </c>
      <c r="D460" t="s">
        <v>13</v>
      </c>
      <c r="F460">
        <v>3500</v>
      </c>
      <c r="G460">
        <v>3510</v>
      </c>
      <c r="H460">
        <v>3455</v>
      </c>
      <c r="I460">
        <v>3455</v>
      </c>
    </row>
    <row r="461" spans="1:10">
      <c r="A461" t="s">
        <v>373</v>
      </c>
      <c r="C461" t="s">
        <v>43</v>
      </c>
      <c r="D461" t="s">
        <v>44</v>
      </c>
      <c r="E461" t="s">
        <v>23</v>
      </c>
      <c r="F461">
        <v>1000</v>
      </c>
      <c r="G461">
        <v>1092</v>
      </c>
      <c r="H461">
        <v>953</v>
      </c>
      <c r="I461">
        <v>979</v>
      </c>
      <c r="J461">
        <v>250000</v>
      </c>
    </row>
    <row r="462" spans="1:10">
      <c r="A462" t="s">
        <v>374</v>
      </c>
      <c r="C462" t="s">
        <v>26</v>
      </c>
      <c r="D462" t="s">
        <v>27</v>
      </c>
      <c r="E462" t="s">
        <v>51</v>
      </c>
      <c r="J462">
        <v>250000</v>
      </c>
    </row>
    <row r="463" spans="1:10">
      <c r="A463" t="s">
        <v>375</v>
      </c>
      <c r="B463" t="s">
        <v>21</v>
      </c>
      <c r="C463" t="s">
        <v>16</v>
      </c>
      <c r="D463" t="s">
        <v>17</v>
      </c>
      <c r="E463" t="s">
        <v>30</v>
      </c>
      <c r="F463">
        <v>3500</v>
      </c>
      <c r="G463">
        <v>3567</v>
      </c>
      <c r="H463">
        <v>3469</v>
      </c>
      <c r="I463">
        <v>3476</v>
      </c>
      <c r="J463">
        <v>250000</v>
      </c>
    </row>
    <row r="464" spans="1:10">
      <c r="A464" t="s">
        <v>375</v>
      </c>
      <c r="B464" t="s">
        <v>21</v>
      </c>
      <c r="C464" t="s">
        <v>22</v>
      </c>
      <c r="D464" t="s">
        <v>22</v>
      </c>
      <c r="E464" t="s">
        <v>23</v>
      </c>
      <c r="F464">
        <v>2500</v>
      </c>
      <c r="G464">
        <v>2587</v>
      </c>
      <c r="H464">
        <v>2436</v>
      </c>
      <c r="I464">
        <v>2544</v>
      </c>
      <c r="J464" t="s">
        <v>19</v>
      </c>
    </row>
    <row r="465" spans="1:10">
      <c r="A465" t="s">
        <v>376</v>
      </c>
      <c r="B465" t="s">
        <v>15</v>
      </c>
      <c r="C465" t="s">
        <v>22</v>
      </c>
      <c r="D465" t="s">
        <v>22</v>
      </c>
      <c r="F465">
        <v>2500</v>
      </c>
      <c r="G465">
        <v>2583</v>
      </c>
      <c r="H465">
        <v>2459</v>
      </c>
      <c r="I465">
        <v>2515</v>
      </c>
      <c r="J465">
        <v>250000</v>
      </c>
    </row>
    <row r="466" spans="1:10">
      <c r="A466" t="s">
        <v>377</v>
      </c>
      <c r="B466" t="s">
        <v>15</v>
      </c>
      <c r="C466" t="s">
        <v>16</v>
      </c>
      <c r="D466" t="s">
        <v>17</v>
      </c>
      <c r="E466" t="s">
        <v>18</v>
      </c>
      <c r="F466">
        <v>2500</v>
      </c>
      <c r="G466">
        <v>2531</v>
      </c>
      <c r="H466">
        <v>2453</v>
      </c>
      <c r="I466">
        <v>2541</v>
      </c>
      <c r="J466">
        <v>100000</v>
      </c>
    </row>
    <row r="467" spans="1:10">
      <c r="A467" t="s">
        <v>378</v>
      </c>
      <c r="C467" t="s">
        <v>22</v>
      </c>
      <c r="D467" t="s">
        <v>22</v>
      </c>
      <c r="E467" t="s">
        <v>23</v>
      </c>
      <c r="F467">
        <v>2500</v>
      </c>
      <c r="G467">
        <v>2559</v>
      </c>
      <c r="H467">
        <v>2473</v>
      </c>
      <c r="I467">
        <v>2451</v>
      </c>
    </row>
    <row r="468" spans="1:10">
      <c r="A468" t="s">
        <v>379</v>
      </c>
      <c r="B468" t="s">
        <v>15</v>
      </c>
      <c r="C468" t="s">
        <v>22</v>
      </c>
      <c r="D468" t="s">
        <v>22</v>
      </c>
    </row>
    <row r="469" spans="1:10">
      <c r="A469" t="s">
        <v>380</v>
      </c>
      <c r="B469" t="s">
        <v>15</v>
      </c>
      <c r="C469" t="s">
        <v>43</v>
      </c>
      <c r="D469" t="s">
        <v>44</v>
      </c>
      <c r="F469">
        <v>2500</v>
      </c>
      <c r="G469">
        <v>2543</v>
      </c>
      <c r="H469">
        <v>2448</v>
      </c>
      <c r="I469">
        <v>2479</v>
      </c>
      <c r="J469">
        <v>250000</v>
      </c>
    </row>
    <row r="470" spans="1:10">
      <c r="A470" t="s">
        <v>380</v>
      </c>
      <c r="B470" t="s">
        <v>11</v>
      </c>
      <c r="C470" t="s">
        <v>43</v>
      </c>
      <c r="D470" t="s">
        <v>44</v>
      </c>
      <c r="J470" t="s">
        <v>19</v>
      </c>
    </row>
    <row r="471" spans="1:10">
      <c r="A471" t="s">
        <v>381</v>
      </c>
      <c r="C471" t="s">
        <v>16</v>
      </c>
      <c r="D471" t="s">
        <v>17</v>
      </c>
      <c r="E471" t="s">
        <v>18</v>
      </c>
      <c r="F471">
        <v>2500</v>
      </c>
      <c r="G471">
        <v>2587</v>
      </c>
      <c r="H471">
        <v>2428</v>
      </c>
      <c r="I471">
        <v>2463</v>
      </c>
    </row>
    <row r="472" spans="1:10">
      <c r="A472" t="s">
        <v>382</v>
      </c>
      <c r="B472" t="s">
        <v>11</v>
      </c>
      <c r="C472" t="s">
        <v>22</v>
      </c>
      <c r="D472" t="s">
        <v>22</v>
      </c>
      <c r="E472" t="s">
        <v>23</v>
      </c>
      <c r="J472">
        <v>100000</v>
      </c>
    </row>
    <row r="473" spans="1:10">
      <c r="A473" t="s">
        <v>382</v>
      </c>
      <c r="B473" t="s">
        <v>21</v>
      </c>
      <c r="C473" t="s">
        <v>22</v>
      </c>
      <c r="D473" t="s">
        <v>22</v>
      </c>
      <c r="E473" t="s">
        <v>23</v>
      </c>
      <c r="F473">
        <v>2500</v>
      </c>
      <c r="G473">
        <v>2531</v>
      </c>
      <c r="H473">
        <v>2449</v>
      </c>
      <c r="I473">
        <v>2456</v>
      </c>
      <c r="J473">
        <v>100000</v>
      </c>
    </row>
    <row r="474" spans="1:10">
      <c r="A474" t="s">
        <v>383</v>
      </c>
      <c r="B474" t="s">
        <v>21</v>
      </c>
      <c r="C474" t="s">
        <v>26</v>
      </c>
      <c r="D474" t="s">
        <v>27</v>
      </c>
      <c r="E474" t="s">
        <v>51</v>
      </c>
      <c r="F474">
        <v>2500</v>
      </c>
      <c r="G474">
        <v>2551</v>
      </c>
      <c r="H474">
        <v>2477</v>
      </c>
      <c r="I474">
        <v>2509</v>
      </c>
      <c r="J474">
        <v>250000</v>
      </c>
    </row>
    <row r="475" spans="1:10">
      <c r="A475" t="s">
        <v>383</v>
      </c>
      <c r="B475" t="s">
        <v>21</v>
      </c>
      <c r="C475" t="s">
        <v>22</v>
      </c>
      <c r="D475" t="s">
        <v>22</v>
      </c>
      <c r="F475">
        <v>1000</v>
      </c>
      <c r="G475">
        <v>1034</v>
      </c>
      <c r="H475">
        <v>989</v>
      </c>
      <c r="I475">
        <v>994</v>
      </c>
      <c r="J475">
        <v>100000</v>
      </c>
    </row>
    <row r="476" spans="1:10">
      <c r="A476" t="s">
        <v>384</v>
      </c>
      <c r="B476" t="s">
        <v>11</v>
      </c>
      <c r="C476" t="s">
        <v>16</v>
      </c>
      <c r="D476" t="s">
        <v>17</v>
      </c>
      <c r="E476" t="s">
        <v>18</v>
      </c>
      <c r="F476">
        <v>3500</v>
      </c>
      <c r="G476">
        <v>3566</v>
      </c>
      <c r="H476">
        <v>3490</v>
      </c>
      <c r="I476">
        <v>3452</v>
      </c>
      <c r="J476">
        <v>100000</v>
      </c>
    </row>
    <row r="477" spans="1:10">
      <c r="A477" t="s">
        <v>385</v>
      </c>
      <c r="C477" t="s">
        <v>22</v>
      </c>
      <c r="D477" t="s">
        <v>22</v>
      </c>
      <c r="F477">
        <v>2500</v>
      </c>
      <c r="G477">
        <v>2522</v>
      </c>
      <c r="H477">
        <v>2450</v>
      </c>
      <c r="I477">
        <v>2495</v>
      </c>
      <c r="J477">
        <v>100000</v>
      </c>
    </row>
    <row r="478" spans="1:10">
      <c r="A478" t="s">
        <v>386</v>
      </c>
      <c r="B478" t="s">
        <v>15</v>
      </c>
      <c r="C478" t="s">
        <v>43</v>
      </c>
      <c r="D478" t="s">
        <v>44</v>
      </c>
      <c r="E478" t="s">
        <v>23</v>
      </c>
      <c r="F478">
        <v>3500</v>
      </c>
      <c r="G478">
        <v>3578</v>
      </c>
      <c r="H478">
        <v>3463</v>
      </c>
      <c r="I478">
        <v>3532</v>
      </c>
      <c r="J478">
        <v>100000</v>
      </c>
    </row>
    <row r="479" spans="1:10">
      <c r="A479" t="s">
        <v>386</v>
      </c>
      <c r="C479" t="s">
        <v>12</v>
      </c>
      <c r="D479" t="s">
        <v>13</v>
      </c>
      <c r="E479" t="s">
        <v>37</v>
      </c>
      <c r="F479">
        <v>1000</v>
      </c>
      <c r="G479">
        <v>1091</v>
      </c>
      <c r="H479">
        <v>990</v>
      </c>
      <c r="I479">
        <v>983</v>
      </c>
      <c r="J479" t="s">
        <v>19</v>
      </c>
    </row>
    <row r="480" spans="1:10">
      <c r="A480" t="s">
        <v>387</v>
      </c>
      <c r="B480" t="s">
        <v>11</v>
      </c>
      <c r="C480" t="s">
        <v>43</v>
      </c>
      <c r="D480" t="s">
        <v>44</v>
      </c>
      <c r="J480" t="s">
        <v>19</v>
      </c>
    </row>
    <row r="481" spans="1:10">
      <c r="A481" t="s">
        <v>388</v>
      </c>
      <c r="C481" t="s">
        <v>26</v>
      </c>
      <c r="D481" t="s">
        <v>27</v>
      </c>
      <c r="E481" t="s">
        <v>51</v>
      </c>
      <c r="J481">
        <v>100000</v>
      </c>
    </row>
    <row r="482" spans="1:10">
      <c r="A482" t="s">
        <v>388</v>
      </c>
      <c r="B482" t="s">
        <v>11</v>
      </c>
      <c r="C482" t="s">
        <v>26</v>
      </c>
      <c r="D482" t="s">
        <v>27</v>
      </c>
      <c r="E482" t="s">
        <v>28</v>
      </c>
      <c r="F482">
        <v>1000</v>
      </c>
      <c r="G482">
        <v>1052</v>
      </c>
      <c r="H482">
        <v>929</v>
      </c>
      <c r="I482">
        <v>1033</v>
      </c>
      <c r="J482">
        <v>100000</v>
      </c>
    </row>
    <row r="483" spans="1:10">
      <c r="A483" t="s">
        <v>389</v>
      </c>
      <c r="B483" t="s">
        <v>15</v>
      </c>
      <c r="C483" t="s">
        <v>26</v>
      </c>
      <c r="D483" t="s">
        <v>27</v>
      </c>
      <c r="J483">
        <v>250000</v>
      </c>
    </row>
    <row r="484" spans="1:10">
      <c r="A484" t="s">
        <v>390</v>
      </c>
      <c r="C484" t="s">
        <v>43</v>
      </c>
      <c r="D484" t="s">
        <v>44</v>
      </c>
      <c r="E484" t="s">
        <v>23</v>
      </c>
      <c r="F484">
        <v>2500</v>
      </c>
      <c r="G484">
        <v>2555</v>
      </c>
      <c r="H484">
        <v>2479</v>
      </c>
      <c r="I484">
        <v>2478</v>
      </c>
      <c r="J484">
        <v>250000</v>
      </c>
    </row>
    <row r="485" spans="1:10">
      <c r="A485" t="s">
        <v>390</v>
      </c>
      <c r="C485" t="s">
        <v>16</v>
      </c>
      <c r="D485" t="s">
        <v>17</v>
      </c>
      <c r="E485" t="s">
        <v>18</v>
      </c>
      <c r="F485">
        <v>1000</v>
      </c>
      <c r="G485">
        <v>1079</v>
      </c>
      <c r="H485">
        <v>961</v>
      </c>
      <c r="I485">
        <v>962</v>
      </c>
      <c r="J485" t="s">
        <v>19</v>
      </c>
    </row>
    <row r="486" spans="1:10">
      <c r="A486" t="s">
        <v>391</v>
      </c>
      <c r="C486" t="s">
        <v>22</v>
      </c>
      <c r="D486" t="s">
        <v>22</v>
      </c>
      <c r="E486" t="s">
        <v>23</v>
      </c>
      <c r="J486" t="s">
        <v>19</v>
      </c>
    </row>
    <row r="487" spans="1:10">
      <c r="A487" t="s">
        <v>392</v>
      </c>
      <c r="B487" t="s">
        <v>21</v>
      </c>
      <c r="C487" t="s">
        <v>43</v>
      </c>
      <c r="D487" t="s">
        <v>44</v>
      </c>
      <c r="E487" t="s">
        <v>23</v>
      </c>
      <c r="F487">
        <v>2500</v>
      </c>
      <c r="G487">
        <v>2549</v>
      </c>
      <c r="H487">
        <v>2481</v>
      </c>
      <c r="I487">
        <v>2550</v>
      </c>
      <c r="J487">
        <v>250000</v>
      </c>
    </row>
    <row r="488" spans="1:10">
      <c r="A488" t="s">
        <v>392</v>
      </c>
      <c r="C488" t="s">
        <v>26</v>
      </c>
      <c r="D488" t="s">
        <v>27</v>
      </c>
    </row>
    <row r="489" spans="1:10">
      <c r="A489" t="s">
        <v>393</v>
      </c>
      <c r="C489" t="s">
        <v>26</v>
      </c>
      <c r="D489" t="s">
        <v>27</v>
      </c>
      <c r="E489" t="s">
        <v>51</v>
      </c>
      <c r="F489">
        <v>2500</v>
      </c>
      <c r="G489">
        <v>2535</v>
      </c>
      <c r="H489">
        <v>2458</v>
      </c>
      <c r="I489">
        <v>2485</v>
      </c>
      <c r="J489">
        <v>100000</v>
      </c>
    </row>
    <row r="490" spans="1:10">
      <c r="A490" t="s">
        <v>393</v>
      </c>
      <c r="B490" t="s">
        <v>15</v>
      </c>
      <c r="C490" t="s">
        <v>16</v>
      </c>
      <c r="D490" t="s">
        <v>17</v>
      </c>
      <c r="E490" t="s">
        <v>30</v>
      </c>
      <c r="F490">
        <v>1000</v>
      </c>
      <c r="G490">
        <v>1040</v>
      </c>
      <c r="H490">
        <v>966</v>
      </c>
      <c r="I490">
        <v>1008</v>
      </c>
      <c r="J490">
        <v>250000</v>
      </c>
    </row>
    <row r="491" spans="1:10">
      <c r="A491" t="s">
        <v>394</v>
      </c>
      <c r="B491" t="s">
        <v>11</v>
      </c>
      <c r="C491" t="s">
        <v>12</v>
      </c>
      <c r="D491" t="s">
        <v>13</v>
      </c>
      <c r="E491" t="s">
        <v>37</v>
      </c>
      <c r="F491">
        <v>2500</v>
      </c>
      <c r="G491">
        <v>2530</v>
      </c>
      <c r="H491">
        <v>2449</v>
      </c>
      <c r="I491">
        <v>2471</v>
      </c>
      <c r="J491" t="s">
        <v>19</v>
      </c>
    </row>
    <row r="492" spans="1:10">
      <c r="A492" t="s">
        <v>395</v>
      </c>
      <c r="B492" t="s">
        <v>21</v>
      </c>
      <c r="C492" t="s">
        <v>12</v>
      </c>
      <c r="D492" t="s">
        <v>13</v>
      </c>
    </row>
    <row r="493" spans="1:10">
      <c r="A493" t="s">
        <v>396</v>
      </c>
      <c r="B493" t="s">
        <v>21</v>
      </c>
      <c r="C493" t="s">
        <v>12</v>
      </c>
      <c r="D493" t="s">
        <v>13</v>
      </c>
      <c r="E493" t="s">
        <v>37</v>
      </c>
      <c r="J493">
        <v>100000</v>
      </c>
    </row>
    <row r="494" spans="1:10">
      <c r="A494" t="s">
        <v>397</v>
      </c>
      <c r="B494" t="s">
        <v>15</v>
      </c>
      <c r="C494" t="s">
        <v>22</v>
      </c>
      <c r="D494" t="s">
        <v>22</v>
      </c>
      <c r="J494">
        <v>100000</v>
      </c>
    </row>
    <row r="495" spans="1:10">
      <c r="A495" t="s">
        <v>398</v>
      </c>
      <c r="B495" t="s">
        <v>21</v>
      </c>
      <c r="C495" t="s">
        <v>16</v>
      </c>
      <c r="D495" t="s">
        <v>17</v>
      </c>
      <c r="F495">
        <v>1000</v>
      </c>
      <c r="G495">
        <v>1098</v>
      </c>
      <c r="H495">
        <v>933</v>
      </c>
      <c r="I495">
        <v>1043</v>
      </c>
      <c r="J495">
        <v>100000</v>
      </c>
    </row>
    <row r="496" spans="1:10">
      <c r="A496" t="s">
        <v>398</v>
      </c>
      <c r="B496" t="s">
        <v>21</v>
      </c>
      <c r="C496" t="s">
        <v>43</v>
      </c>
      <c r="D496" t="s">
        <v>44</v>
      </c>
      <c r="E496" t="s">
        <v>23</v>
      </c>
      <c r="F496">
        <v>3500</v>
      </c>
      <c r="G496">
        <v>3573</v>
      </c>
      <c r="H496">
        <v>3437</v>
      </c>
      <c r="I496">
        <v>3499</v>
      </c>
      <c r="J496">
        <v>250000</v>
      </c>
    </row>
    <row r="497" spans="1:10">
      <c r="A497" t="s">
        <v>399</v>
      </c>
      <c r="C497" t="s">
        <v>22</v>
      </c>
      <c r="D497" t="s">
        <v>22</v>
      </c>
      <c r="E497" t="s">
        <v>23</v>
      </c>
      <c r="F497">
        <v>3500</v>
      </c>
      <c r="G497">
        <v>3543</v>
      </c>
      <c r="H497">
        <v>3458</v>
      </c>
      <c r="I497">
        <v>3501</v>
      </c>
      <c r="J497">
        <v>100000</v>
      </c>
    </row>
    <row r="498" spans="1:10">
      <c r="A498" t="s">
        <v>400</v>
      </c>
      <c r="B498" t="s">
        <v>15</v>
      </c>
      <c r="C498" t="s">
        <v>26</v>
      </c>
      <c r="D498" t="s">
        <v>27</v>
      </c>
      <c r="E498" t="s">
        <v>28</v>
      </c>
      <c r="F498">
        <v>3500</v>
      </c>
      <c r="G498">
        <v>3523</v>
      </c>
      <c r="H498">
        <v>3463</v>
      </c>
      <c r="I498">
        <v>3488</v>
      </c>
      <c r="J498" t="s">
        <v>19</v>
      </c>
    </row>
    <row r="499" spans="1:10">
      <c r="A499" t="s">
        <v>401</v>
      </c>
      <c r="B499" t="s">
        <v>11</v>
      </c>
      <c r="C499" t="s">
        <v>26</v>
      </c>
      <c r="D499" t="s">
        <v>27</v>
      </c>
      <c r="E499" t="s">
        <v>28</v>
      </c>
      <c r="F499">
        <v>3500</v>
      </c>
      <c r="G499">
        <v>3528</v>
      </c>
      <c r="H499">
        <v>3489</v>
      </c>
      <c r="I499">
        <v>3547</v>
      </c>
      <c r="J499" t="s">
        <v>19</v>
      </c>
    </row>
    <row r="500" spans="1:10">
      <c r="A500" t="s">
        <v>401</v>
      </c>
      <c r="B500" t="s">
        <v>21</v>
      </c>
      <c r="C500" t="s">
        <v>26</v>
      </c>
      <c r="D500" t="s">
        <v>27</v>
      </c>
      <c r="F500">
        <v>2500</v>
      </c>
      <c r="G500">
        <v>2558</v>
      </c>
      <c r="H500">
        <v>2430</v>
      </c>
      <c r="I500">
        <v>2492</v>
      </c>
      <c r="J500">
        <v>250000</v>
      </c>
    </row>
    <row r="501" spans="1:10">
      <c r="A501" t="s">
        <v>402</v>
      </c>
      <c r="C501" t="s">
        <v>16</v>
      </c>
      <c r="D501" t="s">
        <v>17</v>
      </c>
      <c r="E501" t="s">
        <v>30</v>
      </c>
      <c r="F501">
        <v>3500</v>
      </c>
      <c r="G501">
        <v>3550</v>
      </c>
      <c r="H501">
        <v>3459</v>
      </c>
      <c r="I501">
        <v>3486</v>
      </c>
      <c r="J501">
        <v>100000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4.4"/>
  <sheetData>
    <row r="1" spans="1:3">
      <c r="A1" t="s">
        <v>2</v>
      </c>
      <c r="B1" t="s">
        <v>403</v>
      </c>
      <c r="C1" t="s">
        <v>404</v>
      </c>
    </row>
    <row r="2" spans="1:3">
      <c r="A2" t="s">
        <v>22</v>
      </c>
      <c r="B2">
        <v>134623</v>
      </c>
      <c r="C2">
        <v>25</v>
      </c>
    </row>
    <row r="3" spans="1:3">
      <c r="A3" t="s">
        <v>43</v>
      </c>
      <c r="B3">
        <v>440992</v>
      </c>
      <c r="C3">
        <v>18</v>
      </c>
    </row>
    <row r="4" spans="1:3">
      <c r="A4" t="s">
        <v>12</v>
      </c>
      <c r="B4">
        <v>116606</v>
      </c>
      <c r="C4">
        <v>18</v>
      </c>
    </row>
    <row r="5" spans="1:3">
      <c r="A5" t="s">
        <v>26</v>
      </c>
      <c r="B5">
        <v>448076</v>
      </c>
      <c r="C5" t="s">
        <v>405</v>
      </c>
    </row>
    <row r="6" spans="1:3">
      <c r="A6" t="s">
        <v>16</v>
      </c>
      <c r="B6">
        <v>475362</v>
      </c>
      <c r="C6">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RowHeight="14.4"/>
  <sheetData>
    <row r="1" spans="1:2">
      <c r="A1" t="s">
        <v>4</v>
      </c>
      <c r="B1" t="s">
        <v>406</v>
      </c>
    </row>
    <row r="2" spans="1:2">
      <c r="A2" t="s">
        <v>23</v>
      </c>
      <c r="B2">
        <v>3.49</v>
      </c>
    </row>
    <row r="3" spans="1:2">
      <c r="A3" t="s">
        <v>37</v>
      </c>
      <c r="B3">
        <v>-4.82</v>
      </c>
    </row>
    <row r="4" spans="1:2">
      <c r="A4" t="s">
        <v>28</v>
      </c>
      <c r="B4">
        <v>-0.23</v>
      </c>
    </row>
    <row r="5" spans="1:2">
      <c r="A5" t="s">
        <v>18</v>
      </c>
      <c r="B5">
        <v>-0.91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1"/>
  <sheetViews>
    <sheetView workbookViewId="0">
      <pane ySplit="1" topLeftCell="A479" activePane="bottomLeft" state="frozen"/>
      <selection pane="bottomLeft" activeCell="K14" sqref="K14"/>
    </sheetView>
  </sheetViews>
  <sheetFormatPr defaultRowHeight="14.4"/>
  <cols>
    <col min="1" max="1" width="10.44140625" customWidth="1"/>
    <col min="2" max="2" width="21" customWidth="1"/>
    <col min="3" max="3" width="12" customWidth="1"/>
    <col min="4" max="4" width="13" customWidth="1"/>
    <col min="5" max="9" width="10" customWidth="1"/>
    <col min="10" max="10" width="12" bestFit="1" customWidth="1"/>
    <col min="11" max="11" width="12.6640625" bestFit="1" customWidth="1"/>
  </cols>
  <sheetData>
    <row r="1" spans="1:11">
      <c r="A1" s="1" t="s">
        <v>0</v>
      </c>
      <c r="B1" s="1" t="s">
        <v>1</v>
      </c>
      <c r="C1" s="1" t="s">
        <v>2</v>
      </c>
      <c r="D1" s="1" t="s">
        <v>3</v>
      </c>
      <c r="E1" s="1" t="s">
        <v>4</v>
      </c>
      <c r="F1" s="1" t="s">
        <v>5</v>
      </c>
      <c r="G1" s="1" t="s">
        <v>6</v>
      </c>
      <c r="H1" s="1" t="s">
        <v>7</v>
      </c>
      <c r="I1" s="1" t="s">
        <v>8</v>
      </c>
      <c r="J1" s="1" t="s">
        <v>9</v>
      </c>
      <c r="K1" t="s">
        <v>432</v>
      </c>
    </row>
    <row r="2" spans="1:11">
      <c r="A2" t="s">
        <v>10</v>
      </c>
      <c r="B2" s="2">
        <v>46082</v>
      </c>
      <c r="C2" t="s">
        <v>12</v>
      </c>
      <c r="D2" t="s">
        <v>13</v>
      </c>
      <c r="E2" t="s">
        <v>37</v>
      </c>
      <c r="F2" s="3">
        <v>2500</v>
      </c>
      <c r="G2" s="3">
        <v>2566</v>
      </c>
      <c r="H2" s="3">
        <v>2433</v>
      </c>
      <c r="I2" s="3">
        <v>2543</v>
      </c>
      <c r="J2" s="3">
        <v>100000</v>
      </c>
      <c r="K2" s="7" cm="1">
        <f t="array" ref="K2">IF(OR(C2="",B2="",I2=""),"",IFERROR((I2-_xlfn.XLOOKUP(1,(C$2:C$501=C2)*(B$2:B$501&lt;&gt;"")*(B$2:B$501=_xlfn.MAXIFS(B$2:B$501,C$2:C$501,C2,B$2:B$501,"&lt;"&amp;B2))*(I$2:I$501&lt;&gt;""),I$2:I$501))/_xlfn.XLOOKUP(1,(C$2:C$501=C2)*(B$2:B$501&lt;&gt;"")*(B$2:B$501=_xlfn.MAXIFS(B$2:B$501,C$2:C$501,C2,B$2:B$501,"&lt;"&amp;B2))*(I$2:I$501&lt;&gt;""),I$2:I$501),""))</f>
        <v>2.9138000809388911E-2</v>
      </c>
    </row>
    <row r="3" spans="1:11">
      <c r="A3" t="s">
        <v>14</v>
      </c>
      <c r="B3" s="2">
        <v>46054</v>
      </c>
      <c r="C3" t="s">
        <v>16</v>
      </c>
      <c r="D3" t="s">
        <v>17</v>
      </c>
      <c r="E3" t="s">
        <v>18</v>
      </c>
      <c r="F3" s="3"/>
      <c r="G3" s="3"/>
      <c r="H3" s="3"/>
      <c r="I3" s="3"/>
      <c r="J3" s="3">
        <v>500000</v>
      </c>
      <c r="K3" s="7" t="str" cm="1">
        <f t="array" ref="K3">IF(OR(C3="",B3="",I3=""),"",IFERROR((I3-_xlfn.XLOOKUP(1,(C$2:C$501=C3)*(B$2:B$501&lt;&gt;"")*(B$2:B$501=_xlfn.MAXIFS(B$2:B$501,C$2:C$501,C3,B$2:B$501,"&lt;"&amp;B3))*(I$2:I$501&lt;&gt;""),I$2:I$501))/_xlfn.XLOOKUP(1,(C$2:C$501=C3)*(B$2:B$501&lt;&gt;"")*(B$2:B$501=_xlfn.MAXIFS(B$2:B$501,C$2:C$501,C3,B$2:B$501,"&lt;"&amp;B3))*(I$2:I$501&lt;&gt;""),I$2:I$501),""))</f>
        <v/>
      </c>
    </row>
    <row r="4" spans="1:11">
      <c r="A4" t="s">
        <v>20</v>
      </c>
      <c r="B4" s="2">
        <v>46023</v>
      </c>
      <c r="C4" t="s">
        <v>22</v>
      </c>
      <c r="D4" t="s">
        <v>22</v>
      </c>
      <c r="E4" t="s">
        <v>23</v>
      </c>
      <c r="F4" s="3">
        <v>1000</v>
      </c>
      <c r="G4" s="3">
        <v>1061</v>
      </c>
      <c r="H4" s="3">
        <v>960</v>
      </c>
      <c r="I4" s="3">
        <v>979</v>
      </c>
      <c r="J4" s="3">
        <v>250000</v>
      </c>
      <c r="K4" s="7" t="str" cm="1">
        <f t="array" ref="K4">IF(OR(C4="",B4="",I4=""),"",IFERROR((I4-_xlfn.XLOOKUP(1,(C$2:C$501=C4)*(B$2:B$501&lt;&gt;"")*(B$2:B$501=_xlfn.MAXIFS(B$2:B$501,C$2:C$501,C4,B$2:B$501,"&lt;"&amp;B4))*(I$2:I$501&lt;&gt;""),I$2:I$501))/_xlfn.XLOOKUP(1,(C$2:C$501=C4)*(B$2:B$501&lt;&gt;"")*(B$2:B$501=_xlfn.MAXIFS(B$2:B$501,C$2:C$501,C4,B$2:B$501,"&lt;"&amp;B4))*(I$2:I$501&lt;&gt;""),I$2:I$501),""))</f>
        <v/>
      </c>
    </row>
    <row r="5" spans="1:11">
      <c r="A5" t="s">
        <v>24</v>
      </c>
      <c r="B5" s="2">
        <v>46054</v>
      </c>
      <c r="C5" t="s">
        <v>12</v>
      </c>
      <c r="D5" t="s">
        <v>13</v>
      </c>
      <c r="E5" t="s">
        <v>37</v>
      </c>
      <c r="F5" s="3">
        <v>2500</v>
      </c>
      <c r="G5" s="3">
        <v>2520</v>
      </c>
      <c r="H5" s="3">
        <v>2457</v>
      </c>
      <c r="I5" s="3">
        <v>2471</v>
      </c>
      <c r="J5" s="3">
        <v>250000</v>
      </c>
      <c r="K5" s="7" cm="1">
        <f t="array" ref="K5">IF(OR(C5="",B5="",I5=""),"",IFERROR((I5-_xlfn.XLOOKUP(1,(C$2:C$501=C5)*(B$2:B$501&lt;&gt;"")*(B$2:B$501=_xlfn.MAXIFS(B$2:B$501,C$2:C$501,C5,B$2:B$501,"&lt;"&amp;B5))*(I$2:I$501&lt;&gt;""),I$2:I$501))/_xlfn.XLOOKUP(1,(C$2:C$501=C5)*(B$2:B$501&lt;&gt;"")*(B$2:B$501=_xlfn.MAXIFS(B$2:B$501,C$2:C$501,C5,B$2:B$501,"&lt;"&amp;B5))*(I$2:I$501&lt;&gt;""),I$2:I$501),""))</f>
        <v>-8.0873433077234124E-4</v>
      </c>
    </row>
    <row r="6" spans="1:11">
      <c r="A6" t="s">
        <v>25</v>
      </c>
      <c r="B6" s="2">
        <v>46023</v>
      </c>
      <c r="C6" t="s">
        <v>22</v>
      </c>
      <c r="D6" t="s">
        <v>22</v>
      </c>
      <c r="E6" t="s">
        <v>23</v>
      </c>
      <c r="F6" s="3">
        <v>3500</v>
      </c>
      <c r="G6" s="3">
        <v>3600</v>
      </c>
      <c r="H6" s="3">
        <v>3425</v>
      </c>
      <c r="I6" s="3">
        <v>3451</v>
      </c>
      <c r="J6" s="3"/>
      <c r="K6" s="7" t="str" cm="1">
        <f t="array" ref="K6">IF(OR(C6="",B6="",I6=""),"",IFERROR((I6-_xlfn.XLOOKUP(1,(C$2:C$501=C6)*(B$2:B$501&lt;&gt;"")*(B$2:B$501=_xlfn.MAXIFS(B$2:B$501,C$2:C$501,C6,B$2:B$501,"&lt;"&amp;B6))*(I$2:I$501&lt;&gt;""),I$2:I$501))/_xlfn.XLOOKUP(1,(C$2:C$501=C6)*(B$2:B$501&lt;&gt;"")*(B$2:B$501=_xlfn.MAXIFS(B$2:B$501,C$2:C$501,C6,B$2:B$501,"&lt;"&amp;B6))*(I$2:I$501&lt;&gt;""),I$2:I$501),""))</f>
        <v/>
      </c>
    </row>
    <row r="7" spans="1:11">
      <c r="A7" t="s">
        <v>25</v>
      </c>
      <c r="B7" s="2">
        <v>46054</v>
      </c>
      <c r="C7" t="s">
        <v>26</v>
      </c>
      <c r="D7" t="s">
        <v>27</v>
      </c>
      <c r="E7" t="s">
        <v>28</v>
      </c>
      <c r="F7" s="3"/>
      <c r="G7" s="3"/>
      <c r="H7" s="3"/>
      <c r="I7" s="3"/>
      <c r="J7" s="3">
        <v>500000</v>
      </c>
      <c r="K7" s="7" t="str" cm="1">
        <f t="array" ref="K7">IF(OR(C7="",B7="",I7=""),"",IFERROR((I7-_xlfn.XLOOKUP(1,(C$2:C$501=C7)*(B$2:B$501&lt;&gt;"")*(B$2:B$501=_xlfn.MAXIFS(B$2:B$501,C$2:C$501,C7,B$2:B$501,"&lt;"&amp;B7))*(I$2:I$501&lt;&gt;""),I$2:I$501))/_xlfn.XLOOKUP(1,(C$2:C$501=C7)*(B$2:B$501&lt;&gt;"")*(B$2:B$501=_xlfn.MAXIFS(B$2:B$501,C$2:C$501,C7,B$2:B$501,"&lt;"&amp;B7))*(I$2:I$501&lt;&gt;""),I$2:I$501),""))</f>
        <v/>
      </c>
    </row>
    <row r="8" spans="1:11">
      <c r="A8" t="s">
        <v>29</v>
      </c>
      <c r="B8" s="2">
        <v>46054</v>
      </c>
      <c r="C8" t="s">
        <v>16</v>
      </c>
      <c r="D8" t="s">
        <v>17</v>
      </c>
      <c r="E8" t="s">
        <v>18</v>
      </c>
      <c r="F8" s="3">
        <v>3500</v>
      </c>
      <c r="G8" s="3">
        <v>3544</v>
      </c>
      <c r="H8" s="3">
        <v>3435</v>
      </c>
      <c r="I8" s="3">
        <v>3471</v>
      </c>
      <c r="J8" s="3">
        <v>500000</v>
      </c>
      <c r="K8" s="7" cm="1">
        <f t="array" ref="K8">IF(OR(C8="",B8="",I8=""),"",IFERROR((I8-_xlfn.XLOOKUP(1,(C$2:C$501=C8)*(B$2:B$501&lt;&gt;"")*(B$2:B$501=_xlfn.MAXIFS(B$2:B$501,C$2:C$501,C8,B$2:B$501,"&lt;"&amp;B8))*(I$2:I$501&lt;&gt;""),I$2:I$501))/_xlfn.XLOOKUP(1,(C$2:C$501=C8)*(B$2:B$501&lt;&gt;"")*(B$2:B$501=_xlfn.MAXIFS(B$2:B$501,C$2:C$501,C8,B$2:B$501,"&lt;"&amp;B8))*(I$2:I$501&lt;&gt;""),I$2:I$501),""))</f>
        <v>0.40016135538523601</v>
      </c>
    </row>
    <row r="9" spans="1:11">
      <c r="A9" t="s">
        <v>31</v>
      </c>
      <c r="B9" s="2">
        <v>46082</v>
      </c>
      <c r="C9" t="s">
        <v>16</v>
      </c>
      <c r="D9" t="s">
        <v>17</v>
      </c>
      <c r="E9" t="s">
        <v>18</v>
      </c>
      <c r="F9" s="3">
        <v>3500</v>
      </c>
      <c r="G9" s="3">
        <v>3556</v>
      </c>
      <c r="H9" s="3">
        <v>3482</v>
      </c>
      <c r="I9" s="3">
        <v>3508</v>
      </c>
      <c r="J9" s="3">
        <v>100000</v>
      </c>
      <c r="K9" s="7" cm="1">
        <f t="array" ref="K9">IF(OR(C9="",B9="",I9=""),"",IFERROR((I9-_xlfn.XLOOKUP(1,(C$2:C$501=C9)*(B$2:B$501&lt;&gt;"")*(B$2:B$501=_xlfn.MAXIFS(B$2:B$501,C$2:C$501,C9,B$2:B$501,"&lt;"&amp;B9))*(I$2:I$501&lt;&gt;""),I$2:I$501))/_xlfn.XLOOKUP(1,(C$2:C$501=C9)*(B$2:B$501&lt;&gt;"")*(B$2:B$501=_xlfn.MAXIFS(B$2:B$501,C$2:C$501,C9,B$2:B$501,"&lt;"&amp;B9))*(I$2:I$501&lt;&gt;""),I$2:I$501),""))</f>
        <v>1.0659752232785941E-2</v>
      </c>
    </row>
    <row r="10" spans="1:11">
      <c r="A10" t="s">
        <v>31</v>
      </c>
      <c r="B10" s="2">
        <v>46082</v>
      </c>
      <c r="C10" t="s">
        <v>12</v>
      </c>
      <c r="D10" t="s">
        <v>13</v>
      </c>
      <c r="E10" t="s">
        <v>37</v>
      </c>
      <c r="F10" s="3">
        <v>3500</v>
      </c>
      <c r="G10" s="3">
        <v>3570</v>
      </c>
      <c r="H10" s="3">
        <v>3423</v>
      </c>
      <c r="I10" s="3">
        <v>3522</v>
      </c>
      <c r="J10" s="3">
        <v>500000</v>
      </c>
      <c r="K10" s="7" cm="1">
        <f t="array" ref="K10">IF(OR(C10="",B10="",I10=""),"",IFERROR((I10-_xlfn.XLOOKUP(1,(C$2:C$501=C10)*(B$2:B$501&lt;&gt;"")*(B$2:B$501=_xlfn.MAXIFS(B$2:B$501,C$2:C$501,C10,B$2:B$501,"&lt;"&amp;B10))*(I$2:I$501&lt;&gt;""),I$2:I$501))/_xlfn.XLOOKUP(1,(C$2:C$501=C10)*(B$2:B$501&lt;&gt;"")*(B$2:B$501=_xlfn.MAXIFS(B$2:B$501,C$2:C$501,C10,B$2:B$501,"&lt;"&amp;B10))*(I$2:I$501&lt;&gt;""),I$2:I$501),""))</f>
        <v>0.42533387292594094</v>
      </c>
    </row>
    <row r="11" spans="1:11">
      <c r="A11" t="s">
        <v>32</v>
      </c>
      <c r="B11" s="2">
        <v>46023</v>
      </c>
      <c r="C11" t="s">
        <v>12</v>
      </c>
      <c r="D11" t="s">
        <v>13</v>
      </c>
      <c r="E11" t="s">
        <v>37</v>
      </c>
      <c r="F11" s="3"/>
      <c r="G11" s="3"/>
      <c r="H11" s="3"/>
      <c r="I11" s="3"/>
      <c r="J11" s="3">
        <v>250000</v>
      </c>
      <c r="K11" s="7" t="str" cm="1">
        <f t="array" ref="K11">IF(OR(C11="",B11="",I11=""),"",IFERROR((I11-_xlfn.XLOOKUP(1,(C$2:C$501=C11)*(B$2:B$501&lt;&gt;"")*(B$2:B$501=_xlfn.MAXIFS(B$2:B$501,C$2:C$501,C11,B$2:B$501,"&lt;"&amp;B11))*(I$2:I$501&lt;&gt;""),I$2:I$501))/_xlfn.XLOOKUP(1,(C$2:C$501=C11)*(B$2:B$501&lt;&gt;"")*(B$2:B$501=_xlfn.MAXIFS(B$2:B$501,C$2:C$501,C11,B$2:B$501,"&lt;"&amp;B11))*(I$2:I$501&lt;&gt;""),I$2:I$501),""))</f>
        <v/>
      </c>
    </row>
    <row r="12" spans="1:11">
      <c r="A12" t="s">
        <v>33</v>
      </c>
      <c r="B12" s="2">
        <v>46023</v>
      </c>
      <c r="C12" t="s">
        <v>16</v>
      </c>
      <c r="D12" t="s">
        <v>17</v>
      </c>
      <c r="E12" t="s">
        <v>18</v>
      </c>
      <c r="F12" s="3">
        <v>2500</v>
      </c>
      <c r="G12" s="3">
        <v>2546</v>
      </c>
      <c r="H12" s="3">
        <v>2472</v>
      </c>
      <c r="I12" s="3">
        <v>2479</v>
      </c>
      <c r="J12" s="3">
        <v>500000</v>
      </c>
      <c r="K12" s="7" t="str" cm="1">
        <f t="array" ref="K12">IF(OR(C12="",B12="",I12=""),"",IFERROR((I12-_xlfn.XLOOKUP(1,(C$2:C$501=C12)*(B$2:B$501&lt;&gt;"")*(B$2:B$501=_xlfn.MAXIFS(B$2:B$501,C$2:C$501,C12,B$2:B$501,"&lt;"&amp;B12))*(I$2:I$501&lt;&gt;""),I$2:I$501))/_xlfn.XLOOKUP(1,(C$2:C$501=C12)*(B$2:B$501&lt;&gt;"")*(B$2:B$501=_xlfn.MAXIFS(B$2:B$501,C$2:C$501,C12,B$2:B$501,"&lt;"&amp;B12))*(I$2:I$501&lt;&gt;""),I$2:I$501),""))</f>
        <v/>
      </c>
    </row>
    <row r="13" spans="1:11">
      <c r="A13" t="s">
        <v>33</v>
      </c>
      <c r="B13" s="2">
        <v>46023</v>
      </c>
      <c r="C13" t="s">
        <v>26</v>
      </c>
      <c r="D13" t="s">
        <v>27</v>
      </c>
      <c r="E13" t="s">
        <v>28</v>
      </c>
      <c r="F13" s="3">
        <v>2500</v>
      </c>
      <c r="G13" s="3">
        <v>2551</v>
      </c>
      <c r="H13" s="3">
        <v>2475</v>
      </c>
      <c r="I13" s="3">
        <v>2529</v>
      </c>
      <c r="J13" s="3">
        <v>500000</v>
      </c>
      <c r="K13" s="7" t="str" cm="1">
        <f t="array" ref="K13">IF(OR(C13="",B13="",I13=""),"",IFERROR((I13-_xlfn.XLOOKUP(1,(C$2:C$501=C13)*(B$2:B$501&lt;&gt;"")*(B$2:B$501=_xlfn.MAXIFS(B$2:B$501,C$2:C$501,C13,B$2:B$501,"&lt;"&amp;B13))*(I$2:I$501&lt;&gt;""),I$2:I$501))/_xlfn.XLOOKUP(1,(C$2:C$501=C13)*(B$2:B$501&lt;&gt;"")*(B$2:B$501=_xlfn.MAXIFS(B$2:B$501,C$2:C$501,C13,B$2:B$501,"&lt;"&amp;B13))*(I$2:I$501&lt;&gt;""),I$2:I$501),""))</f>
        <v/>
      </c>
    </row>
    <row r="14" spans="1:11">
      <c r="A14" t="s">
        <v>34</v>
      </c>
      <c r="C14" t="s">
        <v>22</v>
      </c>
      <c r="D14" t="s">
        <v>22</v>
      </c>
      <c r="E14" t="s">
        <v>23</v>
      </c>
      <c r="F14" s="3">
        <v>2500</v>
      </c>
      <c r="G14" s="3">
        <v>2558</v>
      </c>
      <c r="H14" s="3">
        <v>2472</v>
      </c>
      <c r="I14" s="3">
        <v>2490</v>
      </c>
      <c r="J14" s="3">
        <v>100000</v>
      </c>
      <c r="K14" s="7" t="str" cm="1">
        <f t="array" ref="K14">IF(OR(C14="",B14="",I14=""),"",IFERROR((I14-_xlfn.XLOOKUP(1,(C$2:C$501=C14)*(B$2:B$501&lt;&gt;"")*(B$2:B$501=_xlfn.MAXIFS(B$2:B$501,C$2:C$501,C14,B$2:B$501,"&lt;"&amp;B14))*(I$2:I$501&lt;&gt;""),I$2:I$501))/_xlfn.XLOOKUP(1,(C$2:C$501=C14)*(B$2:B$501&lt;&gt;"")*(B$2:B$501=_xlfn.MAXIFS(B$2:B$501,C$2:C$501,C14,B$2:B$501,"&lt;"&amp;B14))*(I$2:I$501&lt;&gt;""),I$2:I$501),""))</f>
        <v/>
      </c>
    </row>
    <row r="15" spans="1:11">
      <c r="A15" t="s">
        <v>34</v>
      </c>
      <c r="B15" s="2">
        <v>46054</v>
      </c>
      <c r="C15" t="s">
        <v>22</v>
      </c>
      <c r="D15" t="s">
        <v>22</v>
      </c>
      <c r="E15" t="s">
        <v>23</v>
      </c>
      <c r="F15" s="3">
        <v>3500</v>
      </c>
      <c r="G15" s="3">
        <v>3526</v>
      </c>
      <c r="H15" s="3">
        <v>3431</v>
      </c>
      <c r="I15" s="3">
        <v>3526</v>
      </c>
      <c r="J15" s="3">
        <v>500000</v>
      </c>
      <c r="K15" s="7" cm="1">
        <f t="array" ref="K15">IF(OR(C15="",B15="",I15=""),"",IFERROR((I15-_xlfn.XLOOKUP(1,(C$2:C$501=C15)*(B$2:B$501&lt;&gt;"")*(B$2:B$501=_xlfn.MAXIFS(B$2:B$501,C$2:C$501,C15,B$2:B$501,"&lt;"&amp;B15))*(I$2:I$501&lt;&gt;""),I$2:I$501))/_xlfn.XLOOKUP(1,(C$2:C$501=C15)*(B$2:B$501&lt;&gt;"")*(B$2:B$501=_xlfn.MAXIFS(B$2:B$501,C$2:C$501,C15,B$2:B$501,"&lt;"&amp;B15))*(I$2:I$501&lt;&gt;""),I$2:I$501),""))</f>
        <v>2.6016343207354442</v>
      </c>
    </row>
    <row r="16" spans="1:11">
      <c r="A16" t="s">
        <v>35</v>
      </c>
      <c r="B16" s="2">
        <v>46054</v>
      </c>
      <c r="C16" t="s">
        <v>22</v>
      </c>
      <c r="D16" t="s">
        <v>22</v>
      </c>
      <c r="E16" t="s">
        <v>23</v>
      </c>
      <c r="F16" s="3">
        <v>3500</v>
      </c>
      <c r="G16" s="3">
        <v>3515</v>
      </c>
      <c r="H16" s="3">
        <v>3483</v>
      </c>
      <c r="I16" s="3">
        <v>3484</v>
      </c>
      <c r="J16" s="3"/>
      <c r="K16" s="7" cm="1">
        <f t="array" ref="K16">IF(OR(C16="",B16="",I16=""),"",IFERROR((I16-_xlfn.XLOOKUP(1,(C$2:C$501=C16)*(B$2:B$501&lt;&gt;"")*(B$2:B$501=_xlfn.MAXIFS(B$2:B$501,C$2:C$501,C16,B$2:B$501,"&lt;"&amp;B16))*(I$2:I$501&lt;&gt;""),I$2:I$501))/_xlfn.XLOOKUP(1,(C$2:C$501=C16)*(B$2:B$501&lt;&gt;"")*(B$2:B$501=_xlfn.MAXIFS(B$2:B$501,C$2:C$501,C16,B$2:B$501,"&lt;"&amp;B16))*(I$2:I$501&lt;&gt;""),I$2:I$501),""))</f>
        <v>2.5587334014300307</v>
      </c>
    </row>
    <row r="17" spans="1:11">
      <c r="A17" t="s">
        <v>36</v>
      </c>
      <c r="C17" t="s">
        <v>12</v>
      </c>
      <c r="D17" t="s">
        <v>13</v>
      </c>
      <c r="E17" t="s">
        <v>37</v>
      </c>
      <c r="F17" s="3"/>
      <c r="G17" s="3"/>
      <c r="H17" s="3"/>
      <c r="I17" s="3"/>
      <c r="J17" s="3">
        <v>100000</v>
      </c>
      <c r="K17" s="7" t="str" cm="1">
        <f t="array" ref="K17">IF(OR(C17="",B17="",I17=""),"",IFERROR((I17-_xlfn.XLOOKUP(1,(C$2:C$501=C17)*(B$2:B$501&lt;&gt;"")*(B$2:B$501=_xlfn.MAXIFS(B$2:B$501,C$2:C$501,C17,B$2:B$501,"&lt;"&amp;B17))*(I$2:I$501&lt;&gt;""),I$2:I$501))/_xlfn.XLOOKUP(1,(C$2:C$501=C17)*(B$2:B$501&lt;&gt;"")*(B$2:B$501=_xlfn.MAXIFS(B$2:B$501,C$2:C$501,C17,B$2:B$501,"&lt;"&amp;B17))*(I$2:I$501&lt;&gt;""),I$2:I$501),""))</f>
        <v/>
      </c>
    </row>
    <row r="18" spans="1:11">
      <c r="A18" t="s">
        <v>38</v>
      </c>
      <c r="B18" s="2">
        <v>46082</v>
      </c>
      <c r="C18" t="s">
        <v>12</v>
      </c>
      <c r="D18" t="s">
        <v>13</v>
      </c>
      <c r="E18" t="s">
        <v>37</v>
      </c>
      <c r="F18" s="3">
        <v>3500</v>
      </c>
      <c r="G18" s="3">
        <v>3523</v>
      </c>
      <c r="H18" s="3">
        <v>3444</v>
      </c>
      <c r="I18" s="3">
        <v>3453</v>
      </c>
      <c r="J18" s="3">
        <v>100000</v>
      </c>
      <c r="K18" s="7" cm="1">
        <f t="array" ref="K18">IF(OR(C18="",B18="",I18=""),"",IFERROR((I18-_xlfn.XLOOKUP(1,(C$2:C$501=C18)*(B$2:B$501&lt;&gt;"")*(B$2:B$501=_xlfn.MAXIFS(B$2:B$501,C$2:C$501,C18,B$2:B$501,"&lt;"&amp;B18))*(I$2:I$501&lt;&gt;""),I$2:I$501))/_xlfn.XLOOKUP(1,(C$2:C$501=C18)*(B$2:B$501&lt;&gt;"")*(B$2:B$501=_xlfn.MAXIFS(B$2:B$501,C$2:C$501,C18,B$2:B$501,"&lt;"&amp;B18))*(I$2:I$501&lt;&gt;""),I$2:I$501),""))</f>
        <v>0.39740995548360986</v>
      </c>
    </row>
    <row r="19" spans="1:11">
      <c r="A19" t="s">
        <v>40</v>
      </c>
      <c r="B19" s="2">
        <v>46054</v>
      </c>
      <c r="C19" t="s">
        <v>16</v>
      </c>
      <c r="D19" t="s">
        <v>17</v>
      </c>
      <c r="E19" t="s">
        <v>18</v>
      </c>
      <c r="F19" s="3">
        <v>3500</v>
      </c>
      <c r="G19" s="3">
        <v>3571</v>
      </c>
      <c r="H19" s="3">
        <v>3429</v>
      </c>
      <c r="I19" s="3">
        <v>3530</v>
      </c>
      <c r="J19" s="3"/>
      <c r="K19" s="7" cm="1">
        <f t="array" ref="K19">IF(OR(C19="",B19="",I19=""),"",IFERROR((I19-_xlfn.XLOOKUP(1,(C$2:C$501=C19)*(B$2:B$501&lt;&gt;"")*(B$2:B$501=_xlfn.MAXIFS(B$2:B$501,C$2:C$501,C19,B$2:B$501,"&lt;"&amp;B19))*(I$2:I$501&lt;&gt;""),I$2:I$501))/_xlfn.XLOOKUP(1,(C$2:C$501=C19)*(B$2:B$501&lt;&gt;"")*(B$2:B$501=_xlfn.MAXIFS(B$2:B$501,C$2:C$501,C19,B$2:B$501,"&lt;"&amp;B19))*(I$2:I$501&lt;&gt;""),I$2:I$501),""))</f>
        <v>0.42396127470754336</v>
      </c>
    </row>
    <row r="20" spans="1:11">
      <c r="A20" t="s">
        <v>41</v>
      </c>
      <c r="B20" s="2">
        <v>46054</v>
      </c>
      <c r="C20" t="s">
        <v>12</v>
      </c>
      <c r="D20" t="s">
        <v>13</v>
      </c>
      <c r="E20" t="s">
        <v>37</v>
      </c>
      <c r="F20" s="3">
        <v>3500</v>
      </c>
      <c r="G20" s="3">
        <v>3528</v>
      </c>
      <c r="H20" s="3">
        <v>3479</v>
      </c>
      <c r="I20" s="3">
        <v>3495</v>
      </c>
      <c r="J20" s="3">
        <v>500000</v>
      </c>
      <c r="K20" s="7" cm="1">
        <f t="array" ref="K20">IF(OR(C20="",B20="",I20=""),"",IFERROR((I20-_xlfn.XLOOKUP(1,(C$2:C$501=C20)*(B$2:B$501&lt;&gt;"")*(B$2:B$501=_xlfn.MAXIFS(B$2:B$501,C$2:C$501,C20,B$2:B$501,"&lt;"&amp;B20))*(I$2:I$501&lt;&gt;""),I$2:I$501))/_xlfn.XLOOKUP(1,(C$2:C$501=C20)*(B$2:B$501&lt;&gt;"")*(B$2:B$501=_xlfn.MAXIFS(B$2:B$501,C$2:C$501,C20,B$2:B$501,"&lt;"&amp;B20))*(I$2:I$501&lt;&gt;""),I$2:I$501),""))</f>
        <v>0.41326324302466638</v>
      </c>
    </row>
    <row r="21" spans="1:11">
      <c r="A21" t="s">
        <v>42</v>
      </c>
      <c r="C21" t="s">
        <v>43</v>
      </c>
      <c r="D21" t="s">
        <v>44</v>
      </c>
      <c r="E21" t="s">
        <v>23</v>
      </c>
      <c r="F21" s="3"/>
      <c r="G21" s="3"/>
      <c r="H21" s="3"/>
      <c r="I21" s="3"/>
      <c r="J21" s="3"/>
      <c r="K21" s="7" t="str" cm="1">
        <f t="array" ref="K21">IF(OR(C21="",B21="",I21=""),"",IFERROR((I21-_xlfn.XLOOKUP(1,(C$2:C$501=C21)*(B$2:B$501&lt;&gt;"")*(B$2:B$501=_xlfn.MAXIFS(B$2:B$501,C$2:C$501,C21,B$2:B$501,"&lt;"&amp;B21))*(I$2:I$501&lt;&gt;""),I$2:I$501))/_xlfn.XLOOKUP(1,(C$2:C$501=C21)*(B$2:B$501&lt;&gt;"")*(B$2:B$501=_xlfn.MAXIFS(B$2:B$501,C$2:C$501,C21,B$2:B$501,"&lt;"&amp;B21))*(I$2:I$501&lt;&gt;""),I$2:I$501),""))</f>
        <v/>
      </c>
    </row>
    <row r="22" spans="1:11">
      <c r="A22" t="s">
        <v>42</v>
      </c>
      <c r="B22" s="2">
        <v>46054</v>
      </c>
      <c r="C22" t="s">
        <v>12</v>
      </c>
      <c r="D22" t="s">
        <v>13</v>
      </c>
      <c r="E22" t="s">
        <v>37</v>
      </c>
      <c r="F22" s="3">
        <v>3500</v>
      </c>
      <c r="G22" s="3">
        <v>3587</v>
      </c>
      <c r="H22" s="3">
        <v>3466</v>
      </c>
      <c r="I22" s="3">
        <v>3538</v>
      </c>
      <c r="J22" s="3"/>
      <c r="K22" s="7" cm="1">
        <f t="array" ref="K22">IF(OR(C22="",B22="",I22=""),"",IFERROR((I22-_xlfn.XLOOKUP(1,(C$2:C$501=C22)*(B$2:B$501&lt;&gt;"")*(B$2:B$501=_xlfn.MAXIFS(B$2:B$501,C$2:C$501,C22,B$2:B$501,"&lt;"&amp;B22))*(I$2:I$501&lt;&gt;""),I$2:I$501))/_xlfn.XLOOKUP(1,(C$2:C$501=C22)*(B$2:B$501&lt;&gt;"")*(B$2:B$501=_xlfn.MAXIFS(B$2:B$501,C$2:C$501,C22,B$2:B$501,"&lt;"&amp;B22))*(I$2:I$501&lt;&gt;""),I$2:I$501),""))</f>
        <v>0.43065103113627173</v>
      </c>
    </row>
    <row r="23" spans="1:11">
      <c r="A23" t="s">
        <v>45</v>
      </c>
      <c r="C23" t="s">
        <v>12</v>
      </c>
      <c r="D23" t="s">
        <v>13</v>
      </c>
      <c r="E23" t="s">
        <v>37</v>
      </c>
      <c r="F23" s="3">
        <v>3500</v>
      </c>
      <c r="G23" s="3">
        <v>3580</v>
      </c>
      <c r="H23" s="3">
        <v>3455</v>
      </c>
      <c r="I23" s="3">
        <v>3542</v>
      </c>
      <c r="J23" s="3">
        <v>100000</v>
      </c>
      <c r="K23" s="7" t="str" cm="1">
        <f t="array" ref="K23">IF(OR(C23="",B23="",I23=""),"",IFERROR((I23-_xlfn.XLOOKUP(1,(C$2:C$501=C23)*(B$2:B$501&lt;&gt;"")*(B$2:B$501=_xlfn.MAXIFS(B$2:B$501,C$2:C$501,C23,B$2:B$501,"&lt;"&amp;B23))*(I$2:I$501&lt;&gt;""),I$2:I$501))/_xlfn.XLOOKUP(1,(C$2:C$501=C23)*(B$2:B$501&lt;&gt;"")*(B$2:B$501=_xlfn.MAXIFS(B$2:B$501,C$2:C$501,C23,B$2:B$501,"&lt;"&amp;B23))*(I$2:I$501&lt;&gt;""),I$2:I$501),""))</f>
        <v/>
      </c>
    </row>
    <row r="24" spans="1:11">
      <c r="A24" t="s">
        <v>45</v>
      </c>
      <c r="B24" s="2">
        <v>46023</v>
      </c>
      <c r="C24" t="s">
        <v>16</v>
      </c>
      <c r="D24" t="s">
        <v>17</v>
      </c>
      <c r="E24" t="s">
        <v>18</v>
      </c>
      <c r="F24" s="3"/>
      <c r="G24" s="3"/>
      <c r="H24" s="3"/>
      <c r="I24" s="3"/>
      <c r="J24" s="3">
        <v>250000</v>
      </c>
      <c r="K24" s="7" t="str" cm="1">
        <f t="array" ref="K24">IF(OR(C24="",B24="",I24=""),"",IFERROR((I24-_xlfn.XLOOKUP(1,(C$2:C$501=C24)*(B$2:B$501&lt;&gt;"")*(B$2:B$501=_xlfn.MAXIFS(B$2:B$501,C$2:C$501,C24,B$2:B$501,"&lt;"&amp;B24))*(I$2:I$501&lt;&gt;""),I$2:I$501))/_xlfn.XLOOKUP(1,(C$2:C$501=C24)*(B$2:B$501&lt;&gt;"")*(B$2:B$501=_xlfn.MAXIFS(B$2:B$501,C$2:C$501,C24,B$2:B$501,"&lt;"&amp;B24))*(I$2:I$501&lt;&gt;""),I$2:I$501),""))</f>
        <v/>
      </c>
    </row>
    <row r="25" spans="1:11">
      <c r="A25" t="s">
        <v>46</v>
      </c>
      <c r="C25" t="s">
        <v>43</v>
      </c>
      <c r="D25" t="s">
        <v>44</v>
      </c>
      <c r="E25" t="s">
        <v>23</v>
      </c>
      <c r="F25" s="3"/>
      <c r="G25" s="3"/>
      <c r="H25" s="3"/>
      <c r="I25" s="3"/>
      <c r="J25" s="3">
        <v>250000</v>
      </c>
      <c r="K25" s="7" t="str" cm="1">
        <f t="array" ref="K25">IF(OR(C25="",B25="",I25=""),"",IFERROR((I25-_xlfn.XLOOKUP(1,(C$2:C$501=C25)*(B$2:B$501&lt;&gt;"")*(B$2:B$501=_xlfn.MAXIFS(B$2:B$501,C$2:C$501,C25,B$2:B$501,"&lt;"&amp;B25))*(I$2:I$501&lt;&gt;""),I$2:I$501))/_xlfn.XLOOKUP(1,(C$2:C$501=C25)*(B$2:B$501&lt;&gt;"")*(B$2:B$501=_xlfn.MAXIFS(B$2:B$501,C$2:C$501,C25,B$2:B$501,"&lt;"&amp;B25))*(I$2:I$501&lt;&gt;""),I$2:I$501),""))</f>
        <v/>
      </c>
    </row>
    <row r="26" spans="1:11">
      <c r="A26" t="s">
        <v>47</v>
      </c>
      <c r="B26" s="2">
        <v>46023</v>
      </c>
      <c r="C26" t="s">
        <v>12</v>
      </c>
      <c r="D26" t="s">
        <v>13</v>
      </c>
      <c r="E26" t="s">
        <v>37</v>
      </c>
      <c r="F26" s="3">
        <v>2500</v>
      </c>
      <c r="G26" s="3">
        <v>2544</v>
      </c>
      <c r="H26" s="3">
        <v>2489</v>
      </c>
      <c r="I26" s="3">
        <v>2473</v>
      </c>
      <c r="J26" s="3">
        <v>250000</v>
      </c>
      <c r="K26" s="7" t="str" cm="1">
        <f t="array" ref="K26">IF(OR(C26="",B26="",I26=""),"",IFERROR((I26-_xlfn.XLOOKUP(1,(C$2:C$501=C26)*(B$2:B$501&lt;&gt;"")*(B$2:B$501=_xlfn.MAXIFS(B$2:B$501,C$2:C$501,C26,B$2:B$501,"&lt;"&amp;B26))*(I$2:I$501&lt;&gt;""),I$2:I$501))/_xlfn.XLOOKUP(1,(C$2:C$501=C26)*(B$2:B$501&lt;&gt;"")*(B$2:B$501=_xlfn.MAXIFS(B$2:B$501,C$2:C$501,C26,B$2:B$501,"&lt;"&amp;B26))*(I$2:I$501&lt;&gt;""),I$2:I$501),""))</f>
        <v/>
      </c>
    </row>
    <row r="27" spans="1:11">
      <c r="A27" t="s">
        <v>48</v>
      </c>
      <c r="B27" s="2">
        <v>46023</v>
      </c>
      <c r="C27" t="s">
        <v>22</v>
      </c>
      <c r="D27" t="s">
        <v>22</v>
      </c>
      <c r="E27" t="s">
        <v>23</v>
      </c>
      <c r="F27" s="3"/>
      <c r="G27" s="3"/>
      <c r="H27" s="3"/>
      <c r="I27" s="3"/>
      <c r="J27" s="3">
        <v>250000</v>
      </c>
      <c r="K27" s="7" t="str" cm="1">
        <f t="array" ref="K27">IF(OR(C27="",B27="",I27=""),"",IFERROR((I27-_xlfn.XLOOKUP(1,(C$2:C$501=C27)*(B$2:B$501&lt;&gt;"")*(B$2:B$501=_xlfn.MAXIFS(B$2:B$501,C$2:C$501,C27,B$2:B$501,"&lt;"&amp;B27))*(I$2:I$501&lt;&gt;""),I$2:I$501))/_xlfn.XLOOKUP(1,(C$2:C$501=C27)*(B$2:B$501&lt;&gt;"")*(B$2:B$501=_xlfn.MAXIFS(B$2:B$501,C$2:C$501,C27,B$2:B$501,"&lt;"&amp;B27))*(I$2:I$501&lt;&gt;""),I$2:I$501),""))</f>
        <v/>
      </c>
    </row>
    <row r="28" spans="1:11">
      <c r="A28" t="s">
        <v>49</v>
      </c>
      <c r="B28" s="2">
        <v>46082</v>
      </c>
      <c r="C28" t="s">
        <v>12</v>
      </c>
      <c r="D28" t="s">
        <v>13</v>
      </c>
      <c r="E28" t="s">
        <v>37</v>
      </c>
      <c r="F28" s="3">
        <v>1000</v>
      </c>
      <c r="G28" s="3">
        <v>1087</v>
      </c>
      <c r="H28" s="3">
        <v>973</v>
      </c>
      <c r="I28" s="3">
        <v>1029</v>
      </c>
      <c r="J28" s="3"/>
      <c r="K28" s="7" cm="1">
        <f t="array" ref="K28">IF(OR(C28="",B28="",I28=""),"",IFERROR((I28-_xlfn.XLOOKUP(1,(C$2:C$501=C28)*(B$2:B$501&lt;&gt;"")*(B$2:B$501=_xlfn.MAXIFS(B$2:B$501,C$2:C$501,C28,B$2:B$501,"&lt;"&amp;B28))*(I$2:I$501&lt;&gt;""),I$2:I$501))/_xlfn.XLOOKUP(1,(C$2:C$501=C28)*(B$2:B$501&lt;&gt;"")*(B$2:B$501=_xlfn.MAXIFS(B$2:B$501,C$2:C$501,C28,B$2:B$501,"&lt;"&amp;B28))*(I$2:I$501&lt;&gt;""),I$2:I$501),""))</f>
        <v>-0.58356940509915012</v>
      </c>
    </row>
    <row r="29" spans="1:11">
      <c r="A29" t="s">
        <v>50</v>
      </c>
      <c r="C29" t="s">
        <v>26</v>
      </c>
      <c r="D29" t="s">
        <v>27</v>
      </c>
      <c r="E29" t="s">
        <v>28</v>
      </c>
      <c r="F29" s="3">
        <v>1000</v>
      </c>
      <c r="G29" s="3">
        <v>1049</v>
      </c>
      <c r="H29" s="3">
        <v>951</v>
      </c>
      <c r="I29" s="3">
        <v>956</v>
      </c>
      <c r="J29" s="3">
        <v>100000</v>
      </c>
      <c r="K29" s="7" t="str" cm="1">
        <f t="array" ref="K29">IF(OR(C29="",B29="",I29=""),"",IFERROR((I29-_xlfn.XLOOKUP(1,(C$2:C$501=C29)*(B$2:B$501&lt;&gt;"")*(B$2:B$501=_xlfn.MAXIFS(B$2:B$501,C$2:C$501,C29,B$2:B$501,"&lt;"&amp;B29))*(I$2:I$501&lt;&gt;""),I$2:I$501))/_xlfn.XLOOKUP(1,(C$2:C$501=C29)*(B$2:B$501&lt;&gt;"")*(B$2:B$501=_xlfn.MAXIFS(B$2:B$501,C$2:C$501,C29,B$2:B$501,"&lt;"&amp;B29))*(I$2:I$501&lt;&gt;""),I$2:I$501),""))</f>
        <v/>
      </c>
    </row>
    <row r="30" spans="1:11">
      <c r="A30" t="s">
        <v>52</v>
      </c>
      <c r="C30" t="s">
        <v>43</v>
      </c>
      <c r="D30" t="s">
        <v>44</v>
      </c>
      <c r="E30" t="s">
        <v>23</v>
      </c>
      <c r="F30" s="3"/>
      <c r="G30" s="3"/>
      <c r="H30" s="3"/>
      <c r="I30" s="3"/>
      <c r="J30" s="3">
        <v>100000</v>
      </c>
      <c r="K30" s="7" t="str" cm="1">
        <f t="array" ref="K30">IF(OR(C30="",B30="",I30=""),"",IFERROR((I30-_xlfn.XLOOKUP(1,(C$2:C$501=C30)*(B$2:B$501&lt;&gt;"")*(B$2:B$501=_xlfn.MAXIFS(B$2:B$501,C$2:C$501,C30,B$2:B$501,"&lt;"&amp;B30))*(I$2:I$501&lt;&gt;""),I$2:I$501))/_xlfn.XLOOKUP(1,(C$2:C$501=C30)*(B$2:B$501&lt;&gt;"")*(B$2:B$501=_xlfn.MAXIFS(B$2:B$501,C$2:C$501,C30,B$2:B$501,"&lt;"&amp;B30))*(I$2:I$501&lt;&gt;""),I$2:I$501),""))</f>
        <v/>
      </c>
    </row>
    <row r="31" spans="1:11">
      <c r="A31" t="s">
        <v>53</v>
      </c>
      <c r="B31" s="2">
        <v>46054</v>
      </c>
      <c r="C31" t="s">
        <v>12</v>
      </c>
      <c r="D31" t="s">
        <v>13</v>
      </c>
      <c r="E31" t="s">
        <v>37</v>
      </c>
      <c r="F31" s="3"/>
      <c r="G31" s="3"/>
      <c r="H31" s="3"/>
      <c r="I31" s="3"/>
      <c r="J31" s="3">
        <v>100000</v>
      </c>
      <c r="K31" s="7" t="str" cm="1">
        <f t="array" ref="K31">IF(OR(C31="",B31="",I31=""),"",IFERROR((I31-_xlfn.XLOOKUP(1,(C$2:C$501=C31)*(B$2:B$501&lt;&gt;"")*(B$2:B$501=_xlfn.MAXIFS(B$2:B$501,C$2:C$501,C31,B$2:B$501,"&lt;"&amp;B31))*(I$2:I$501&lt;&gt;""),I$2:I$501))/_xlfn.XLOOKUP(1,(C$2:C$501=C31)*(B$2:B$501&lt;&gt;"")*(B$2:B$501=_xlfn.MAXIFS(B$2:B$501,C$2:C$501,C31,B$2:B$501,"&lt;"&amp;B31))*(I$2:I$501&lt;&gt;""),I$2:I$501),""))</f>
        <v/>
      </c>
    </row>
    <row r="32" spans="1:11">
      <c r="A32" t="s">
        <v>53</v>
      </c>
      <c r="C32" t="s">
        <v>26</v>
      </c>
      <c r="D32" t="s">
        <v>27</v>
      </c>
      <c r="E32" t="s">
        <v>28</v>
      </c>
      <c r="F32" s="3">
        <v>2500</v>
      </c>
      <c r="G32" s="3">
        <v>2567</v>
      </c>
      <c r="H32" s="3">
        <v>2430</v>
      </c>
      <c r="I32" s="3">
        <v>2547</v>
      </c>
      <c r="J32" s="3">
        <v>500000</v>
      </c>
      <c r="K32" s="7" t="str" cm="1">
        <f t="array" ref="K32">IF(OR(C32="",B32="",I32=""),"",IFERROR((I32-_xlfn.XLOOKUP(1,(C$2:C$501=C32)*(B$2:B$501&lt;&gt;"")*(B$2:B$501=_xlfn.MAXIFS(B$2:B$501,C$2:C$501,C32,B$2:B$501,"&lt;"&amp;B32))*(I$2:I$501&lt;&gt;""),I$2:I$501))/_xlfn.XLOOKUP(1,(C$2:C$501=C32)*(B$2:B$501&lt;&gt;"")*(B$2:B$501=_xlfn.MAXIFS(B$2:B$501,C$2:C$501,C32,B$2:B$501,"&lt;"&amp;B32))*(I$2:I$501&lt;&gt;""),I$2:I$501),""))</f>
        <v/>
      </c>
    </row>
    <row r="33" spans="1:11">
      <c r="A33" t="s">
        <v>54</v>
      </c>
      <c r="C33" t="s">
        <v>26</v>
      </c>
      <c r="D33" t="s">
        <v>27</v>
      </c>
      <c r="E33" t="s">
        <v>28</v>
      </c>
      <c r="F33" s="3">
        <v>2500</v>
      </c>
      <c r="G33" s="3">
        <v>2586</v>
      </c>
      <c r="H33" s="3">
        <v>2490</v>
      </c>
      <c r="I33" s="3">
        <v>2451</v>
      </c>
      <c r="J33" s="3">
        <v>250000</v>
      </c>
      <c r="K33" s="7" t="str" cm="1">
        <f t="array" ref="K33">IF(OR(C33="",B33="",I33=""),"",IFERROR((I33-_xlfn.XLOOKUP(1,(C$2:C$501=C33)*(B$2:B$501&lt;&gt;"")*(B$2:B$501=_xlfn.MAXIFS(B$2:B$501,C$2:C$501,C33,B$2:B$501,"&lt;"&amp;B33))*(I$2:I$501&lt;&gt;""),I$2:I$501))/_xlfn.XLOOKUP(1,(C$2:C$501=C33)*(B$2:B$501&lt;&gt;"")*(B$2:B$501=_xlfn.MAXIFS(B$2:B$501,C$2:C$501,C33,B$2:B$501,"&lt;"&amp;B33))*(I$2:I$501&lt;&gt;""),I$2:I$501),""))</f>
        <v/>
      </c>
    </row>
    <row r="34" spans="1:11">
      <c r="A34" t="s">
        <v>55</v>
      </c>
      <c r="C34" t="s">
        <v>22</v>
      </c>
      <c r="D34" t="s">
        <v>22</v>
      </c>
      <c r="E34" t="s">
        <v>23</v>
      </c>
      <c r="F34" s="3">
        <v>1000</v>
      </c>
      <c r="G34" s="3">
        <v>1060</v>
      </c>
      <c r="H34" s="3">
        <v>957</v>
      </c>
      <c r="I34" s="3">
        <v>991</v>
      </c>
      <c r="J34" s="3">
        <v>250000</v>
      </c>
      <c r="K34" s="7" t="str" cm="1">
        <f t="array" ref="K34">IF(OR(C34="",B34="",I34=""),"",IFERROR((I34-_xlfn.XLOOKUP(1,(C$2:C$501=C34)*(B$2:B$501&lt;&gt;"")*(B$2:B$501=_xlfn.MAXIFS(B$2:B$501,C$2:C$501,C34,B$2:B$501,"&lt;"&amp;B34))*(I$2:I$501&lt;&gt;""),I$2:I$501))/_xlfn.XLOOKUP(1,(C$2:C$501=C34)*(B$2:B$501&lt;&gt;"")*(B$2:B$501=_xlfn.MAXIFS(B$2:B$501,C$2:C$501,C34,B$2:B$501,"&lt;"&amp;B34))*(I$2:I$501&lt;&gt;""),I$2:I$501),""))</f>
        <v/>
      </c>
    </row>
    <row r="35" spans="1:11">
      <c r="A35" t="s">
        <v>56</v>
      </c>
      <c r="C35" t="s">
        <v>12</v>
      </c>
      <c r="D35" t="s">
        <v>13</v>
      </c>
      <c r="E35" t="s">
        <v>37</v>
      </c>
      <c r="F35" s="3">
        <v>1000</v>
      </c>
      <c r="G35" s="3">
        <v>1094</v>
      </c>
      <c r="H35" s="3">
        <v>926</v>
      </c>
      <c r="I35" s="3">
        <v>1034</v>
      </c>
      <c r="J35" s="3"/>
      <c r="K35" s="7" t="str" cm="1">
        <f t="array" ref="K35">IF(OR(C35="",B35="",I35=""),"",IFERROR((I35-_xlfn.XLOOKUP(1,(C$2:C$501=C35)*(B$2:B$501&lt;&gt;"")*(B$2:B$501=_xlfn.MAXIFS(B$2:B$501,C$2:C$501,C35,B$2:B$501,"&lt;"&amp;B35))*(I$2:I$501&lt;&gt;""),I$2:I$501))/_xlfn.XLOOKUP(1,(C$2:C$501=C35)*(B$2:B$501&lt;&gt;"")*(B$2:B$501=_xlfn.MAXIFS(B$2:B$501,C$2:C$501,C35,B$2:B$501,"&lt;"&amp;B35))*(I$2:I$501&lt;&gt;""),I$2:I$501),""))</f>
        <v/>
      </c>
    </row>
    <row r="36" spans="1:11">
      <c r="A36" t="s">
        <v>57</v>
      </c>
      <c r="B36" s="2">
        <v>46082</v>
      </c>
      <c r="C36" t="s">
        <v>16</v>
      </c>
      <c r="D36" t="s">
        <v>17</v>
      </c>
      <c r="E36" t="s">
        <v>18</v>
      </c>
      <c r="F36" s="3">
        <v>1000</v>
      </c>
      <c r="G36" s="3">
        <v>1024</v>
      </c>
      <c r="H36" s="3">
        <v>927</v>
      </c>
      <c r="I36" s="3">
        <v>1004</v>
      </c>
      <c r="J36" s="3"/>
      <c r="K36" s="7" cm="1">
        <f t="array" ref="K36">IF(OR(C36="",B36="",I36=""),"",IFERROR((I36-_xlfn.XLOOKUP(1,(C$2:C$501=C36)*(B$2:B$501&lt;&gt;"")*(B$2:B$501=_xlfn.MAXIFS(B$2:B$501,C$2:C$501,C36,B$2:B$501,"&lt;"&amp;B36))*(I$2:I$501&lt;&gt;""),I$2:I$501))/_xlfn.XLOOKUP(1,(C$2:C$501=C36)*(B$2:B$501&lt;&gt;"")*(B$2:B$501=_xlfn.MAXIFS(B$2:B$501,C$2:C$501,C36,B$2:B$501,"&lt;"&amp;B36))*(I$2:I$501&lt;&gt;""),I$2:I$501),""))</f>
        <v>-0.71074618265629497</v>
      </c>
    </row>
    <row r="37" spans="1:11">
      <c r="A37" t="s">
        <v>58</v>
      </c>
      <c r="C37" t="s">
        <v>22</v>
      </c>
      <c r="D37" t="s">
        <v>22</v>
      </c>
      <c r="E37" t="s">
        <v>23</v>
      </c>
      <c r="F37" s="3">
        <v>2500</v>
      </c>
      <c r="G37" s="3">
        <v>2522</v>
      </c>
      <c r="H37" s="3">
        <v>2439</v>
      </c>
      <c r="I37" s="3">
        <v>2452</v>
      </c>
      <c r="J37" s="3"/>
      <c r="K37" s="7" t="str" cm="1">
        <f t="array" ref="K37">IF(OR(C37="",B37="",I37=""),"",IFERROR((I37-_xlfn.XLOOKUP(1,(C$2:C$501=C37)*(B$2:B$501&lt;&gt;"")*(B$2:B$501=_xlfn.MAXIFS(B$2:B$501,C$2:C$501,C37,B$2:B$501,"&lt;"&amp;B37))*(I$2:I$501&lt;&gt;""),I$2:I$501))/_xlfn.XLOOKUP(1,(C$2:C$501=C37)*(B$2:B$501&lt;&gt;"")*(B$2:B$501=_xlfn.MAXIFS(B$2:B$501,C$2:C$501,C37,B$2:B$501,"&lt;"&amp;B37))*(I$2:I$501&lt;&gt;""),I$2:I$501),""))</f>
        <v/>
      </c>
    </row>
    <row r="38" spans="1:11">
      <c r="A38" t="s">
        <v>59</v>
      </c>
      <c r="B38" s="2">
        <v>46054</v>
      </c>
      <c r="C38" t="s">
        <v>16</v>
      </c>
      <c r="D38" t="s">
        <v>17</v>
      </c>
      <c r="E38" t="s">
        <v>18</v>
      </c>
      <c r="F38" s="3">
        <v>3500</v>
      </c>
      <c r="G38" s="3">
        <v>3567</v>
      </c>
      <c r="H38" s="3">
        <v>3473</v>
      </c>
      <c r="I38" s="3">
        <v>3450</v>
      </c>
      <c r="J38" s="3">
        <v>500000</v>
      </c>
      <c r="K38" s="7" cm="1">
        <f t="array" ref="K38">IF(OR(C38="",B38="",I38=""),"",IFERROR((I38-_xlfn.XLOOKUP(1,(C$2:C$501=C38)*(B$2:B$501&lt;&gt;"")*(B$2:B$501=_xlfn.MAXIFS(B$2:B$501,C$2:C$501,C38,B$2:B$501,"&lt;"&amp;B38))*(I$2:I$501&lt;&gt;""),I$2:I$501))/_xlfn.XLOOKUP(1,(C$2:C$501=C38)*(B$2:B$501&lt;&gt;"")*(B$2:B$501=_xlfn.MAXIFS(B$2:B$501,C$2:C$501,C38,B$2:B$501,"&lt;"&amp;B38))*(I$2:I$501&lt;&gt;""),I$2:I$501),""))</f>
        <v>0.39169019766034691</v>
      </c>
    </row>
    <row r="39" spans="1:11">
      <c r="A39" t="s">
        <v>60</v>
      </c>
      <c r="B39" s="2">
        <v>46082</v>
      </c>
      <c r="C39" t="s">
        <v>16</v>
      </c>
      <c r="D39" t="s">
        <v>17</v>
      </c>
      <c r="E39" t="s">
        <v>18</v>
      </c>
      <c r="F39" s="3">
        <v>1000</v>
      </c>
      <c r="G39" s="3">
        <v>1070</v>
      </c>
      <c r="H39" s="3">
        <v>923</v>
      </c>
      <c r="I39" s="3">
        <v>980</v>
      </c>
      <c r="J39" s="3">
        <v>500000</v>
      </c>
      <c r="K39" s="7" cm="1">
        <f t="array" ref="K39">IF(OR(C39="",B39="",I39=""),"",IFERROR((I39-_xlfn.XLOOKUP(1,(C$2:C$501=C39)*(B$2:B$501&lt;&gt;"")*(B$2:B$501=_xlfn.MAXIFS(B$2:B$501,C$2:C$501,C39,B$2:B$501,"&lt;"&amp;B39))*(I$2:I$501&lt;&gt;""),I$2:I$501))/_xlfn.XLOOKUP(1,(C$2:C$501=C39)*(B$2:B$501&lt;&gt;"")*(B$2:B$501=_xlfn.MAXIFS(B$2:B$501,C$2:C$501,C39,B$2:B$501,"&lt;"&amp;B39))*(I$2:I$501&lt;&gt;""),I$2:I$501),""))</f>
        <v>-0.71766061653702107</v>
      </c>
    </row>
    <row r="40" spans="1:11">
      <c r="A40" t="s">
        <v>60</v>
      </c>
      <c r="B40" s="2">
        <v>46082</v>
      </c>
      <c r="C40" t="s">
        <v>43</v>
      </c>
      <c r="D40" t="s">
        <v>44</v>
      </c>
      <c r="E40" t="s">
        <v>23</v>
      </c>
      <c r="F40" s="3">
        <v>2500</v>
      </c>
      <c r="G40" s="3">
        <v>2510</v>
      </c>
      <c r="H40" s="3">
        <v>2467</v>
      </c>
      <c r="I40" s="3">
        <v>2544</v>
      </c>
      <c r="J40" s="3">
        <v>250000</v>
      </c>
      <c r="K40" s="7" cm="1">
        <f t="array" ref="K40">IF(OR(C40="",B40="",I40=""),"",IFERROR((I40-_xlfn.XLOOKUP(1,(C$2:C$501=C40)*(B$2:B$501&lt;&gt;"")*(B$2:B$501=_xlfn.MAXIFS(B$2:B$501,C$2:C$501,C40,B$2:B$501,"&lt;"&amp;B40))*(I$2:I$501&lt;&gt;""),I$2:I$501))/_xlfn.XLOOKUP(1,(C$2:C$501=C40)*(B$2:B$501&lt;&gt;"")*(B$2:B$501=_xlfn.MAXIFS(B$2:B$501,C$2:C$501,C40,B$2:B$501,"&lt;"&amp;B40))*(I$2:I$501&lt;&gt;""),I$2:I$501),""))</f>
        <v>1.4461538461538461</v>
      </c>
    </row>
    <row r="41" spans="1:11">
      <c r="A41" t="s">
        <v>61</v>
      </c>
      <c r="C41" t="s">
        <v>22</v>
      </c>
      <c r="D41" t="s">
        <v>22</v>
      </c>
      <c r="E41" t="s">
        <v>23</v>
      </c>
      <c r="F41" s="3"/>
      <c r="G41" s="3"/>
      <c r="H41" s="3"/>
      <c r="I41" s="3"/>
      <c r="J41" s="3">
        <v>100000</v>
      </c>
      <c r="K41" s="7" t="str" cm="1">
        <f t="array" ref="K41">IF(OR(C41="",B41="",I41=""),"",IFERROR((I41-_xlfn.XLOOKUP(1,(C$2:C$501=C41)*(B$2:B$501&lt;&gt;"")*(B$2:B$501=_xlfn.MAXIFS(B$2:B$501,C$2:C$501,C41,B$2:B$501,"&lt;"&amp;B41))*(I$2:I$501&lt;&gt;""),I$2:I$501))/_xlfn.XLOOKUP(1,(C$2:C$501=C41)*(B$2:B$501&lt;&gt;"")*(B$2:B$501=_xlfn.MAXIFS(B$2:B$501,C$2:C$501,C41,B$2:B$501,"&lt;"&amp;B41))*(I$2:I$501&lt;&gt;""),I$2:I$501),""))</f>
        <v/>
      </c>
    </row>
    <row r="42" spans="1:11">
      <c r="A42" t="s">
        <v>62</v>
      </c>
      <c r="B42" s="2">
        <v>46023</v>
      </c>
      <c r="C42" t="s">
        <v>16</v>
      </c>
      <c r="D42" t="s">
        <v>17</v>
      </c>
      <c r="E42" t="s">
        <v>18</v>
      </c>
      <c r="F42" s="3">
        <v>1000</v>
      </c>
      <c r="G42" s="3">
        <v>1091</v>
      </c>
      <c r="H42" s="3">
        <v>964</v>
      </c>
      <c r="I42" s="3">
        <v>975</v>
      </c>
      <c r="J42" s="3"/>
      <c r="K42" s="7" t="str" cm="1">
        <f t="array" ref="K42">IF(OR(C42="",B42="",I42=""),"",IFERROR((I42-_xlfn.XLOOKUP(1,(C$2:C$501=C42)*(B$2:B$501&lt;&gt;"")*(B$2:B$501=_xlfn.MAXIFS(B$2:B$501,C$2:C$501,C42,B$2:B$501,"&lt;"&amp;B42))*(I$2:I$501&lt;&gt;""),I$2:I$501))/_xlfn.XLOOKUP(1,(C$2:C$501=C42)*(B$2:B$501&lt;&gt;"")*(B$2:B$501=_xlfn.MAXIFS(B$2:B$501,C$2:C$501,C42,B$2:B$501,"&lt;"&amp;B42))*(I$2:I$501&lt;&gt;""),I$2:I$501),""))</f>
        <v/>
      </c>
    </row>
    <row r="43" spans="1:11">
      <c r="A43" t="s">
        <v>63</v>
      </c>
      <c r="B43" s="2">
        <v>46023</v>
      </c>
      <c r="C43" t="s">
        <v>26</v>
      </c>
      <c r="D43" t="s">
        <v>27</v>
      </c>
      <c r="E43" t="s">
        <v>28</v>
      </c>
      <c r="F43" s="3">
        <v>3500</v>
      </c>
      <c r="G43" s="3">
        <v>3554</v>
      </c>
      <c r="H43" s="3">
        <v>3457</v>
      </c>
      <c r="I43" s="3">
        <v>3461</v>
      </c>
      <c r="J43" s="3"/>
      <c r="K43" s="7" t="str" cm="1">
        <f t="array" ref="K43">IF(OR(C43="",B43="",I43=""),"",IFERROR((I43-_xlfn.XLOOKUP(1,(C$2:C$501=C43)*(B$2:B$501&lt;&gt;"")*(B$2:B$501=_xlfn.MAXIFS(B$2:B$501,C$2:C$501,C43,B$2:B$501,"&lt;"&amp;B43))*(I$2:I$501&lt;&gt;""),I$2:I$501))/_xlfn.XLOOKUP(1,(C$2:C$501=C43)*(B$2:B$501&lt;&gt;"")*(B$2:B$501=_xlfn.MAXIFS(B$2:B$501,C$2:C$501,C43,B$2:B$501,"&lt;"&amp;B43))*(I$2:I$501&lt;&gt;""),I$2:I$501),""))</f>
        <v/>
      </c>
    </row>
    <row r="44" spans="1:11">
      <c r="A44" t="s">
        <v>64</v>
      </c>
      <c r="C44" t="s">
        <v>26</v>
      </c>
      <c r="D44" t="s">
        <v>27</v>
      </c>
      <c r="E44" t="s">
        <v>28</v>
      </c>
      <c r="F44" s="3">
        <v>1000</v>
      </c>
      <c r="G44" s="3">
        <v>1082</v>
      </c>
      <c r="H44" s="3">
        <v>985</v>
      </c>
      <c r="I44" s="3">
        <v>955</v>
      </c>
      <c r="J44" s="3">
        <v>100000</v>
      </c>
      <c r="K44" s="7" t="str" cm="1">
        <f t="array" ref="K44">IF(OR(C44="",B44="",I44=""),"",IFERROR((I44-_xlfn.XLOOKUP(1,(C$2:C$501=C44)*(B$2:B$501&lt;&gt;"")*(B$2:B$501=_xlfn.MAXIFS(B$2:B$501,C$2:C$501,C44,B$2:B$501,"&lt;"&amp;B44))*(I$2:I$501&lt;&gt;""),I$2:I$501))/_xlfn.XLOOKUP(1,(C$2:C$501=C44)*(B$2:B$501&lt;&gt;"")*(B$2:B$501=_xlfn.MAXIFS(B$2:B$501,C$2:C$501,C44,B$2:B$501,"&lt;"&amp;B44))*(I$2:I$501&lt;&gt;""),I$2:I$501),""))</f>
        <v/>
      </c>
    </row>
    <row r="45" spans="1:11">
      <c r="A45" t="s">
        <v>64</v>
      </c>
      <c r="B45" s="2">
        <v>46082</v>
      </c>
      <c r="C45" t="s">
        <v>43</v>
      </c>
      <c r="D45" t="s">
        <v>44</v>
      </c>
      <c r="E45" t="s">
        <v>23</v>
      </c>
      <c r="F45" s="3">
        <v>2500</v>
      </c>
      <c r="G45" s="3">
        <v>2546</v>
      </c>
      <c r="H45" s="3">
        <v>2467</v>
      </c>
      <c r="I45" s="3">
        <v>2461</v>
      </c>
      <c r="J45" s="3">
        <v>250000</v>
      </c>
      <c r="K45" s="7" cm="1">
        <f t="array" ref="K45">IF(OR(C45="",B45="",I45=""),"",IFERROR((I45-_xlfn.XLOOKUP(1,(C$2:C$501=C45)*(B$2:B$501&lt;&gt;"")*(B$2:B$501=_xlfn.MAXIFS(B$2:B$501,C$2:C$501,C45,B$2:B$501,"&lt;"&amp;B45))*(I$2:I$501&lt;&gt;""),I$2:I$501))/_xlfn.XLOOKUP(1,(C$2:C$501=C45)*(B$2:B$501&lt;&gt;"")*(B$2:B$501=_xlfn.MAXIFS(B$2:B$501,C$2:C$501,C45,B$2:B$501,"&lt;"&amp;B45))*(I$2:I$501&lt;&gt;""),I$2:I$501),""))</f>
        <v>1.3663461538461539</v>
      </c>
    </row>
    <row r="46" spans="1:11">
      <c r="A46" t="s">
        <v>65</v>
      </c>
      <c r="B46" s="2">
        <v>46082</v>
      </c>
      <c r="C46" t="s">
        <v>12</v>
      </c>
      <c r="D46" t="s">
        <v>13</v>
      </c>
      <c r="E46" t="s">
        <v>37</v>
      </c>
      <c r="F46" s="3">
        <v>1000</v>
      </c>
      <c r="G46" s="3">
        <v>1030</v>
      </c>
      <c r="H46" s="3">
        <v>935</v>
      </c>
      <c r="I46" s="3">
        <v>960</v>
      </c>
      <c r="J46" s="3"/>
      <c r="K46" s="7" cm="1">
        <f t="array" ref="K46">IF(OR(C46="",B46="",I46=""),"",IFERROR((I46-_xlfn.XLOOKUP(1,(C$2:C$501=C46)*(B$2:B$501&lt;&gt;"")*(B$2:B$501=_xlfn.MAXIFS(B$2:B$501,C$2:C$501,C46,B$2:B$501,"&lt;"&amp;B46))*(I$2:I$501&lt;&gt;""),I$2:I$501))/_xlfn.XLOOKUP(1,(C$2:C$501=C46)*(B$2:B$501&lt;&gt;"")*(B$2:B$501=_xlfn.MAXIFS(B$2:B$501,C$2:C$501,C46,B$2:B$501,"&lt;"&amp;B46))*(I$2:I$501&lt;&gt;""),I$2:I$501),""))</f>
        <v>-0.61149332254148114</v>
      </c>
    </row>
    <row r="47" spans="1:11">
      <c r="A47" t="s">
        <v>66</v>
      </c>
      <c r="B47" s="2">
        <v>46023</v>
      </c>
      <c r="C47" t="s">
        <v>26</v>
      </c>
      <c r="D47" t="s">
        <v>27</v>
      </c>
      <c r="E47" t="s">
        <v>28</v>
      </c>
      <c r="F47" s="3"/>
      <c r="G47" s="3"/>
      <c r="H47" s="3"/>
      <c r="I47" s="3"/>
      <c r="J47" s="3">
        <v>500000</v>
      </c>
      <c r="K47" s="7" t="str" cm="1">
        <f t="array" ref="K47">IF(OR(C47="",B47="",I47=""),"",IFERROR((I47-_xlfn.XLOOKUP(1,(C$2:C$501=C47)*(B$2:B$501&lt;&gt;"")*(B$2:B$501=_xlfn.MAXIFS(B$2:B$501,C$2:C$501,C47,B$2:B$501,"&lt;"&amp;B47))*(I$2:I$501&lt;&gt;""),I$2:I$501))/_xlfn.XLOOKUP(1,(C$2:C$501=C47)*(B$2:B$501&lt;&gt;"")*(B$2:B$501=_xlfn.MAXIFS(B$2:B$501,C$2:C$501,C47,B$2:B$501,"&lt;"&amp;B47))*(I$2:I$501&lt;&gt;""),I$2:I$501),""))</f>
        <v/>
      </c>
    </row>
    <row r="48" spans="1:11">
      <c r="A48" t="s">
        <v>66</v>
      </c>
      <c r="B48" s="2">
        <v>46082</v>
      </c>
      <c r="C48" t="s">
        <v>26</v>
      </c>
      <c r="D48" t="s">
        <v>27</v>
      </c>
      <c r="E48" t="s">
        <v>28</v>
      </c>
      <c r="F48" s="3">
        <v>1000</v>
      </c>
      <c r="G48" s="3">
        <v>1087</v>
      </c>
      <c r="H48" s="3">
        <v>947</v>
      </c>
      <c r="I48" s="3">
        <v>1031</v>
      </c>
      <c r="J48" s="3">
        <v>250000</v>
      </c>
      <c r="K48" s="7" cm="1">
        <f t="array" ref="K48">IF(OR(C48="",B48="",I48=""),"",IFERROR((I48-_xlfn.XLOOKUP(1,(C$2:C$501=C48)*(B$2:B$501&lt;&gt;"")*(B$2:B$501=_xlfn.MAXIFS(B$2:B$501,C$2:C$501,C48,B$2:B$501,"&lt;"&amp;B48))*(I$2:I$501&lt;&gt;""),I$2:I$501))/_xlfn.XLOOKUP(1,(C$2:C$501=C48)*(B$2:B$501&lt;&gt;"")*(B$2:B$501=_xlfn.MAXIFS(B$2:B$501,C$2:C$501,C48,B$2:B$501,"&lt;"&amp;B48))*(I$2:I$501&lt;&gt;""),I$2:I$501),""))</f>
        <v>-0.70793201133144479</v>
      </c>
    </row>
    <row r="49" spans="1:11">
      <c r="A49" t="s">
        <v>67</v>
      </c>
      <c r="B49" s="2">
        <v>46023</v>
      </c>
      <c r="C49" t="s">
        <v>43</v>
      </c>
      <c r="D49" t="s">
        <v>44</v>
      </c>
      <c r="E49" t="s">
        <v>23</v>
      </c>
      <c r="F49" s="3"/>
      <c r="G49" s="3"/>
      <c r="H49" s="3"/>
      <c r="I49" s="3"/>
      <c r="J49" s="3">
        <v>250000</v>
      </c>
      <c r="K49" s="7" t="str" cm="1">
        <f t="array" ref="K49">IF(OR(C49="",B49="",I49=""),"",IFERROR((I49-_xlfn.XLOOKUP(1,(C$2:C$501=C49)*(B$2:B$501&lt;&gt;"")*(B$2:B$501=_xlfn.MAXIFS(B$2:B$501,C$2:C$501,C49,B$2:B$501,"&lt;"&amp;B49))*(I$2:I$501&lt;&gt;""),I$2:I$501))/_xlfn.XLOOKUP(1,(C$2:C$501=C49)*(B$2:B$501&lt;&gt;"")*(B$2:B$501=_xlfn.MAXIFS(B$2:B$501,C$2:C$501,C49,B$2:B$501,"&lt;"&amp;B49))*(I$2:I$501&lt;&gt;""),I$2:I$501),""))</f>
        <v/>
      </c>
    </row>
    <row r="50" spans="1:11">
      <c r="A50" t="s">
        <v>68</v>
      </c>
      <c r="B50" s="2">
        <v>46054</v>
      </c>
      <c r="C50" t="s">
        <v>43</v>
      </c>
      <c r="D50" t="s">
        <v>44</v>
      </c>
      <c r="E50" t="s">
        <v>23</v>
      </c>
      <c r="F50" s="3"/>
      <c r="G50" s="3"/>
      <c r="H50" s="3"/>
      <c r="I50" s="3"/>
      <c r="J50" s="3">
        <v>500000</v>
      </c>
      <c r="K50" s="7" t="str" cm="1">
        <f t="array" ref="K50">IF(OR(C50="",B50="",I50=""),"",IFERROR((I50-_xlfn.XLOOKUP(1,(C$2:C$501=C50)*(B$2:B$501&lt;&gt;"")*(B$2:B$501=_xlfn.MAXIFS(B$2:B$501,C$2:C$501,C50,B$2:B$501,"&lt;"&amp;B50))*(I$2:I$501&lt;&gt;""),I$2:I$501))/_xlfn.XLOOKUP(1,(C$2:C$501=C50)*(B$2:B$501&lt;&gt;"")*(B$2:B$501=_xlfn.MAXIFS(B$2:B$501,C$2:C$501,C50,B$2:B$501,"&lt;"&amp;B50))*(I$2:I$501&lt;&gt;""),I$2:I$501),""))</f>
        <v/>
      </c>
    </row>
    <row r="51" spans="1:11">
      <c r="A51" t="s">
        <v>68</v>
      </c>
      <c r="B51" s="2">
        <v>46082</v>
      </c>
      <c r="C51" t="s">
        <v>26</v>
      </c>
      <c r="D51" t="s">
        <v>27</v>
      </c>
      <c r="E51" t="s">
        <v>28</v>
      </c>
      <c r="F51" s="3">
        <v>3500</v>
      </c>
      <c r="G51" s="3">
        <v>3511</v>
      </c>
      <c r="H51" s="3">
        <v>3428</v>
      </c>
      <c r="I51" s="3">
        <v>3483</v>
      </c>
      <c r="J51" s="3">
        <v>250000</v>
      </c>
      <c r="K51" s="7" cm="1">
        <f t="array" ref="K51">IF(OR(C51="",B51="",I51=""),"",IFERROR((I51-_xlfn.XLOOKUP(1,(C$2:C$501=C51)*(B$2:B$501&lt;&gt;"")*(B$2:B$501=_xlfn.MAXIFS(B$2:B$501,C$2:C$501,C51,B$2:B$501,"&lt;"&amp;B51))*(I$2:I$501&lt;&gt;""),I$2:I$501))/_xlfn.XLOOKUP(1,(C$2:C$501=C51)*(B$2:B$501&lt;&gt;"")*(B$2:B$501=_xlfn.MAXIFS(B$2:B$501,C$2:C$501,C51,B$2:B$501,"&lt;"&amp;B51))*(I$2:I$501&lt;&gt;""),I$2:I$501),""))</f>
        <v>-1.3314447592067988E-2</v>
      </c>
    </row>
    <row r="52" spans="1:11">
      <c r="A52" t="s">
        <v>69</v>
      </c>
      <c r="C52" t="s">
        <v>43</v>
      </c>
      <c r="D52" t="s">
        <v>44</v>
      </c>
      <c r="E52" t="s">
        <v>23</v>
      </c>
      <c r="F52" s="3"/>
      <c r="G52" s="3"/>
      <c r="H52" s="3"/>
      <c r="I52" s="3"/>
      <c r="J52" s="3">
        <v>100000</v>
      </c>
      <c r="K52" s="7" t="str" cm="1">
        <f t="array" ref="K52">IF(OR(C52="",B52="",I52=""),"",IFERROR((I52-_xlfn.XLOOKUP(1,(C$2:C$501=C52)*(B$2:B$501&lt;&gt;"")*(B$2:B$501=_xlfn.MAXIFS(B$2:B$501,C$2:C$501,C52,B$2:B$501,"&lt;"&amp;B52))*(I$2:I$501&lt;&gt;""),I$2:I$501))/_xlfn.XLOOKUP(1,(C$2:C$501=C52)*(B$2:B$501&lt;&gt;"")*(B$2:B$501=_xlfn.MAXIFS(B$2:B$501,C$2:C$501,C52,B$2:B$501,"&lt;"&amp;B52))*(I$2:I$501&lt;&gt;""),I$2:I$501),""))</f>
        <v/>
      </c>
    </row>
    <row r="53" spans="1:11">
      <c r="A53" t="s">
        <v>70</v>
      </c>
      <c r="B53" s="2">
        <v>46023</v>
      </c>
      <c r="C53" t="s">
        <v>16</v>
      </c>
      <c r="D53" t="s">
        <v>17</v>
      </c>
      <c r="E53" t="s">
        <v>18</v>
      </c>
      <c r="F53" s="3">
        <v>2500</v>
      </c>
      <c r="G53" s="3">
        <v>2523</v>
      </c>
      <c r="H53" s="3">
        <v>2489</v>
      </c>
      <c r="I53" s="3">
        <v>2494</v>
      </c>
      <c r="J53" s="3">
        <v>500000</v>
      </c>
      <c r="K53" s="7" t="str" cm="1">
        <f t="array" ref="K53">IF(OR(C53="",B53="",I53=""),"",IFERROR((I53-_xlfn.XLOOKUP(1,(C$2:C$501=C53)*(B$2:B$501&lt;&gt;"")*(B$2:B$501=_xlfn.MAXIFS(B$2:B$501,C$2:C$501,C53,B$2:B$501,"&lt;"&amp;B53))*(I$2:I$501&lt;&gt;""),I$2:I$501))/_xlfn.XLOOKUP(1,(C$2:C$501=C53)*(B$2:B$501&lt;&gt;"")*(B$2:B$501=_xlfn.MAXIFS(B$2:B$501,C$2:C$501,C53,B$2:B$501,"&lt;"&amp;B53))*(I$2:I$501&lt;&gt;""),I$2:I$501),""))</f>
        <v/>
      </c>
    </row>
    <row r="54" spans="1:11">
      <c r="A54" t="s">
        <v>70</v>
      </c>
      <c r="B54" s="2">
        <v>46023</v>
      </c>
      <c r="C54" t="s">
        <v>12</v>
      </c>
      <c r="D54" t="s">
        <v>13</v>
      </c>
      <c r="E54" t="s">
        <v>37</v>
      </c>
      <c r="F54" s="3"/>
      <c r="G54" s="3"/>
      <c r="H54" s="3"/>
      <c r="I54" s="3"/>
      <c r="J54" s="3">
        <v>100000</v>
      </c>
      <c r="K54" s="7" t="str" cm="1">
        <f t="array" ref="K54">IF(OR(C54="",B54="",I54=""),"",IFERROR((I54-_xlfn.XLOOKUP(1,(C$2:C$501=C54)*(B$2:B$501&lt;&gt;"")*(B$2:B$501=_xlfn.MAXIFS(B$2:B$501,C$2:C$501,C54,B$2:B$501,"&lt;"&amp;B54))*(I$2:I$501&lt;&gt;""),I$2:I$501))/_xlfn.XLOOKUP(1,(C$2:C$501=C54)*(B$2:B$501&lt;&gt;"")*(B$2:B$501=_xlfn.MAXIFS(B$2:B$501,C$2:C$501,C54,B$2:B$501,"&lt;"&amp;B54))*(I$2:I$501&lt;&gt;""),I$2:I$501),""))</f>
        <v/>
      </c>
    </row>
    <row r="55" spans="1:11">
      <c r="A55" t="s">
        <v>71</v>
      </c>
      <c r="B55" s="2">
        <v>46054</v>
      </c>
      <c r="C55" t="s">
        <v>12</v>
      </c>
      <c r="D55" t="s">
        <v>13</v>
      </c>
      <c r="E55" t="s">
        <v>37</v>
      </c>
      <c r="F55" s="3">
        <v>2500</v>
      </c>
      <c r="G55" s="3">
        <v>2552</v>
      </c>
      <c r="H55" s="3">
        <v>2484</v>
      </c>
      <c r="I55" s="3">
        <v>2479</v>
      </c>
      <c r="J55" s="3">
        <v>250000</v>
      </c>
      <c r="K55" s="7" cm="1">
        <f t="array" ref="K55">IF(OR(C55="",B55="",I55=""),"",IFERROR((I55-_xlfn.XLOOKUP(1,(C$2:C$501=C55)*(B$2:B$501&lt;&gt;"")*(B$2:B$501=_xlfn.MAXIFS(B$2:B$501,C$2:C$501,C55,B$2:B$501,"&lt;"&amp;B55))*(I$2:I$501&lt;&gt;""),I$2:I$501))/_xlfn.XLOOKUP(1,(C$2:C$501=C55)*(B$2:B$501&lt;&gt;"")*(B$2:B$501=_xlfn.MAXIFS(B$2:B$501,C$2:C$501,C55,B$2:B$501,"&lt;"&amp;B55))*(I$2:I$501&lt;&gt;""),I$2:I$501),""))</f>
        <v>2.4262029923170238E-3</v>
      </c>
    </row>
    <row r="56" spans="1:11">
      <c r="A56" t="s">
        <v>71</v>
      </c>
      <c r="C56" t="s">
        <v>12</v>
      </c>
      <c r="D56" t="s">
        <v>13</v>
      </c>
      <c r="E56" t="s">
        <v>37</v>
      </c>
      <c r="F56" s="3"/>
      <c r="G56" s="3"/>
      <c r="H56" s="3"/>
      <c r="I56" s="3"/>
      <c r="J56" s="3"/>
      <c r="K56" s="7" t="str" cm="1">
        <f t="array" ref="K56">IF(OR(C56="",B56="",I56=""),"",IFERROR((I56-_xlfn.XLOOKUP(1,(C$2:C$501=C56)*(B$2:B$501&lt;&gt;"")*(B$2:B$501=_xlfn.MAXIFS(B$2:B$501,C$2:C$501,C56,B$2:B$501,"&lt;"&amp;B56))*(I$2:I$501&lt;&gt;""),I$2:I$501))/_xlfn.XLOOKUP(1,(C$2:C$501=C56)*(B$2:B$501&lt;&gt;"")*(B$2:B$501=_xlfn.MAXIFS(B$2:B$501,C$2:C$501,C56,B$2:B$501,"&lt;"&amp;B56))*(I$2:I$501&lt;&gt;""),I$2:I$501),""))</f>
        <v/>
      </c>
    </row>
    <row r="57" spans="1:11">
      <c r="A57" t="s">
        <v>72</v>
      </c>
      <c r="C57" t="s">
        <v>12</v>
      </c>
      <c r="D57" t="s">
        <v>13</v>
      </c>
      <c r="E57" t="s">
        <v>37</v>
      </c>
      <c r="F57" s="3">
        <v>1000</v>
      </c>
      <c r="G57" s="3">
        <v>1057</v>
      </c>
      <c r="H57" s="3">
        <v>948</v>
      </c>
      <c r="I57" s="3">
        <v>1010</v>
      </c>
      <c r="J57" s="3">
        <v>100000</v>
      </c>
      <c r="K57" s="7" t="str" cm="1">
        <f t="array" ref="K57">IF(OR(C57="",B57="",I57=""),"",IFERROR((I57-_xlfn.XLOOKUP(1,(C$2:C$501=C57)*(B$2:B$501&lt;&gt;"")*(B$2:B$501=_xlfn.MAXIFS(B$2:B$501,C$2:C$501,C57,B$2:B$501,"&lt;"&amp;B57))*(I$2:I$501&lt;&gt;""),I$2:I$501))/_xlfn.XLOOKUP(1,(C$2:C$501=C57)*(B$2:B$501&lt;&gt;"")*(B$2:B$501=_xlfn.MAXIFS(B$2:B$501,C$2:C$501,C57,B$2:B$501,"&lt;"&amp;B57))*(I$2:I$501&lt;&gt;""),I$2:I$501),""))</f>
        <v/>
      </c>
    </row>
    <row r="58" spans="1:11">
      <c r="A58" t="s">
        <v>73</v>
      </c>
      <c r="C58" t="s">
        <v>12</v>
      </c>
      <c r="D58" t="s">
        <v>13</v>
      </c>
      <c r="E58" t="s">
        <v>37</v>
      </c>
      <c r="F58" s="3">
        <v>2500</v>
      </c>
      <c r="G58" s="3">
        <v>2580</v>
      </c>
      <c r="H58" s="3">
        <v>2446</v>
      </c>
      <c r="I58" s="3">
        <v>2531</v>
      </c>
      <c r="J58" s="3">
        <v>250000</v>
      </c>
      <c r="K58" s="7" t="str" cm="1">
        <f t="array" ref="K58">IF(OR(C58="",B58="",I58=""),"",IFERROR((I58-_xlfn.XLOOKUP(1,(C$2:C$501=C58)*(B$2:B$501&lt;&gt;"")*(B$2:B$501=_xlfn.MAXIFS(B$2:B$501,C$2:C$501,C58,B$2:B$501,"&lt;"&amp;B58))*(I$2:I$501&lt;&gt;""),I$2:I$501))/_xlfn.XLOOKUP(1,(C$2:C$501=C58)*(B$2:B$501&lt;&gt;"")*(B$2:B$501=_xlfn.MAXIFS(B$2:B$501,C$2:C$501,C58,B$2:B$501,"&lt;"&amp;B58))*(I$2:I$501&lt;&gt;""),I$2:I$501),""))</f>
        <v/>
      </c>
    </row>
    <row r="59" spans="1:11">
      <c r="A59" t="s">
        <v>73</v>
      </c>
      <c r="B59" s="2">
        <v>46082</v>
      </c>
      <c r="C59" t="s">
        <v>12</v>
      </c>
      <c r="D59" t="s">
        <v>13</v>
      </c>
      <c r="E59" t="s">
        <v>37</v>
      </c>
      <c r="F59" s="3">
        <v>1000</v>
      </c>
      <c r="G59" s="3">
        <v>1028</v>
      </c>
      <c r="H59" s="3">
        <v>921</v>
      </c>
      <c r="I59" s="3">
        <v>968</v>
      </c>
      <c r="J59" s="3">
        <v>500000</v>
      </c>
      <c r="K59" s="7" cm="1">
        <f t="array" ref="K59">IF(OR(C59="",B59="",I59=""),"",IFERROR((I59-_xlfn.XLOOKUP(1,(C$2:C$501=C59)*(B$2:B$501&lt;&gt;"")*(B$2:B$501=_xlfn.MAXIFS(B$2:B$501,C$2:C$501,C59,B$2:B$501,"&lt;"&amp;B59))*(I$2:I$501&lt;&gt;""),I$2:I$501))/_xlfn.XLOOKUP(1,(C$2:C$501=C59)*(B$2:B$501&lt;&gt;"")*(B$2:B$501=_xlfn.MAXIFS(B$2:B$501,C$2:C$501,C59,B$2:B$501,"&lt;"&amp;B59))*(I$2:I$501&lt;&gt;""),I$2:I$501),""))</f>
        <v>-0.60825576689599348</v>
      </c>
    </row>
    <row r="60" spans="1:11">
      <c r="A60" t="s">
        <v>74</v>
      </c>
      <c r="B60" s="2">
        <v>46082</v>
      </c>
      <c r="C60" t="s">
        <v>43</v>
      </c>
      <c r="D60" t="s">
        <v>44</v>
      </c>
      <c r="E60" t="s">
        <v>23</v>
      </c>
      <c r="F60" s="3">
        <v>3500</v>
      </c>
      <c r="G60" s="3">
        <v>3541</v>
      </c>
      <c r="H60" s="3">
        <v>3480</v>
      </c>
      <c r="I60" s="3">
        <v>3550</v>
      </c>
      <c r="J60" s="3">
        <v>250000</v>
      </c>
      <c r="K60" s="7" cm="1">
        <f t="array" ref="K60">IF(OR(C60="",B60="",I60=""),"",IFERROR((I60-_xlfn.XLOOKUP(1,(C$2:C$501=C60)*(B$2:B$501&lt;&gt;"")*(B$2:B$501=_xlfn.MAXIFS(B$2:B$501,C$2:C$501,C60,B$2:B$501,"&lt;"&amp;B60))*(I$2:I$501&lt;&gt;""),I$2:I$501))/_xlfn.XLOOKUP(1,(C$2:C$501=C60)*(B$2:B$501&lt;&gt;"")*(B$2:B$501=_xlfn.MAXIFS(B$2:B$501,C$2:C$501,C60,B$2:B$501,"&lt;"&amp;B60))*(I$2:I$501&lt;&gt;""),I$2:I$501),""))</f>
        <v>2.4134615384615383</v>
      </c>
    </row>
    <row r="61" spans="1:11">
      <c r="A61" t="s">
        <v>75</v>
      </c>
      <c r="B61" s="2">
        <v>46054</v>
      </c>
      <c r="C61" t="s">
        <v>16</v>
      </c>
      <c r="D61" t="s">
        <v>17</v>
      </c>
      <c r="E61" t="s">
        <v>18</v>
      </c>
      <c r="F61" s="3">
        <v>2500</v>
      </c>
      <c r="G61" s="3">
        <v>2574</v>
      </c>
      <c r="H61" s="3">
        <v>2473</v>
      </c>
      <c r="I61" s="3">
        <v>2536</v>
      </c>
      <c r="J61" s="3"/>
      <c r="K61" s="7" cm="1">
        <f t="array" ref="K61">IF(OR(C61="",B61="",I61=""),"",IFERROR((I61-_xlfn.XLOOKUP(1,(C$2:C$501=C61)*(B$2:B$501&lt;&gt;"")*(B$2:B$501=_xlfn.MAXIFS(B$2:B$501,C$2:C$501,C61,B$2:B$501,"&lt;"&amp;B61))*(I$2:I$501&lt;&gt;""),I$2:I$501))/_xlfn.XLOOKUP(1,(C$2:C$501=C61)*(B$2:B$501&lt;&gt;"")*(B$2:B$501=_xlfn.MAXIFS(B$2:B$501,C$2:C$501,C61,B$2:B$501,"&lt;"&amp;B61))*(I$2:I$501&lt;&gt;""),I$2:I$501),""))</f>
        <v>2.2993142396127472E-2</v>
      </c>
    </row>
    <row r="62" spans="1:11">
      <c r="A62" t="s">
        <v>76</v>
      </c>
      <c r="B62" s="2">
        <v>46023</v>
      </c>
      <c r="C62" t="s">
        <v>22</v>
      </c>
      <c r="D62" t="s">
        <v>22</v>
      </c>
      <c r="E62" t="s">
        <v>23</v>
      </c>
      <c r="F62" s="3">
        <v>1000</v>
      </c>
      <c r="G62" s="3">
        <v>1035</v>
      </c>
      <c r="H62" s="3">
        <v>930</v>
      </c>
      <c r="I62" s="3">
        <v>1016</v>
      </c>
      <c r="J62" s="3"/>
      <c r="K62" s="7" t="str" cm="1">
        <f t="array" ref="K62">IF(OR(C62="",B62="",I62=""),"",IFERROR((I62-_xlfn.XLOOKUP(1,(C$2:C$501=C62)*(B$2:B$501&lt;&gt;"")*(B$2:B$501=_xlfn.MAXIFS(B$2:B$501,C$2:C$501,C62,B$2:B$501,"&lt;"&amp;B62))*(I$2:I$501&lt;&gt;""),I$2:I$501))/_xlfn.XLOOKUP(1,(C$2:C$501=C62)*(B$2:B$501&lt;&gt;"")*(B$2:B$501=_xlfn.MAXIFS(B$2:B$501,C$2:C$501,C62,B$2:B$501,"&lt;"&amp;B62))*(I$2:I$501&lt;&gt;""),I$2:I$501),""))</f>
        <v/>
      </c>
    </row>
    <row r="63" spans="1:11">
      <c r="A63" t="s">
        <v>77</v>
      </c>
      <c r="B63" s="2">
        <v>46023</v>
      </c>
      <c r="C63" t="s">
        <v>12</v>
      </c>
      <c r="D63" t="s">
        <v>13</v>
      </c>
      <c r="E63" t="s">
        <v>37</v>
      </c>
      <c r="F63" s="3">
        <v>3500</v>
      </c>
      <c r="G63" s="3">
        <v>3593</v>
      </c>
      <c r="H63" s="3">
        <v>3457</v>
      </c>
      <c r="I63" s="3">
        <v>3538</v>
      </c>
      <c r="J63" s="3">
        <v>250000</v>
      </c>
      <c r="K63" s="7" t="str" cm="1">
        <f t="array" ref="K63">IF(OR(C63="",B63="",I63=""),"",IFERROR((I63-_xlfn.XLOOKUP(1,(C$2:C$501=C63)*(B$2:B$501&lt;&gt;"")*(B$2:B$501=_xlfn.MAXIFS(B$2:B$501,C$2:C$501,C63,B$2:B$501,"&lt;"&amp;B63))*(I$2:I$501&lt;&gt;""),I$2:I$501))/_xlfn.XLOOKUP(1,(C$2:C$501=C63)*(B$2:B$501&lt;&gt;"")*(B$2:B$501=_xlfn.MAXIFS(B$2:B$501,C$2:C$501,C63,B$2:B$501,"&lt;"&amp;B63))*(I$2:I$501&lt;&gt;""),I$2:I$501),""))</f>
        <v/>
      </c>
    </row>
    <row r="64" spans="1:11">
      <c r="A64" t="s">
        <v>77</v>
      </c>
      <c r="B64" s="2">
        <v>46082</v>
      </c>
      <c r="C64" t="s">
        <v>16</v>
      </c>
      <c r="D64" t="s">
        <v>17</v>
      </c>
      <c r="E64" t="s">
        <v>18</v>
      </c>
      <c r="F64" s="3">
        <v>2500</v>
      </c>
      <c r="G64" s="3">
        <v>2568</v>
      </c>
      <c r="H64" s="3">
        <v>2453</v>
      </c>
      <c r="I64" s="3">
        <v>2454</v>
      </c>
      <c r="J64" s="3">
        <v>250000</v>
      </c>
      <c r="K64" s="7" cm="1">
        <f t="array" ref="K64">IF(OR(C64="",B64="",I64=""),"",IFERROR((I64-_xlfn.XLOOKUP(1,(C$2:C$501=C64)*(B$2:B$501&lt;&gt;"")*(B$2:B$501=_xlfn.MAXIFS(B$2:B$501,C$2:C$501,C64,B$2:B$501,"&lt;"&amp;B64))*(I$2:I$501&lt;&gt;""),I$2:I$501))/_xlfn.XLOOKUP(1,(C$2:C$501=C64)*(B$2:B$501&lt;&gt;"")*(B$2:B$501=_xlfn.MAXIFS(B$2:B$501,C$2:C$501,C64,B$2:B$501,"&lt;"&amp;B64))*(I$2:I$501&lt;&gt;""),I$2:I$501),""))</f>
        <v>-0.29299913569576491</v>
      </c>
    </row>
    <row r="65" spans="1:11">
      <c r="A65" t="s">
        <v>78</v>
      </c>
      <c r="B65" s="2">
        <v>46054</v>
      </c>
      <c r="C65" t="s">
        <v>26</v>
      </c>
      <c r="D65" t="s">
        <v>27</v>
      </c>
      <c r="E65" t="s">
        <v>28</v>
      </c>
      <c r="F65" s="3"/>
      <c r="G65" s="3"/>
      <c r="H65" s="3"/>
      <c r="I65" s="3"/>
      <c r="J65" s="3">
        <v>500000</v>
      </c>
      <c r="K65" s="7" t="str" cm="1">
        <f t="array" ref="K65">IF(OR(C65="",B65="",I65=""),"",IFERROR((I65-_xlfn.XLOOKUP(1,(C$2:C$501=C65)*(B$2:B$501&lt;&gt;"")*(B$2:B$501=_xlfn.MAXIFS(B$2:B$501,C$2:C$501,C65,B$2:B$501,"&lt;"&amp;B65))*(I$2:I$501&lt;&gt;""),I$2:I$501))/_xlfn.XLOOKUP(1,(C$2:C$501=C65)*(B$2:B$501&lt;&gt;"")*(B$2:B$501=_xlfn.MAXIFS(B$2:B$501,C$2:C$501,C65,B$2:B$501,"&lt;"&amp;B65))*(I$2:I$501&lt;&gt;""),I$2:I$501),""))</f>
        <v/>
      </c>
    </row>
    <row r="66" spans="1:11">
      <c r="A66" t="s">
        <v>79</v>
      </c>
      <c r="C66" t="s">
        <v>16</v>
      </c>
      <c r="D66" t="s">
        <v>17</v>
      </c>
      <c r="E66" t="s">
        <v>18</v>
      </c>
      <c r="F66" s="3">
        <v>1000</v>
      </c>
      <c r="G66" s="3">
        <v>1037</v>
      </c>
      <c r="H66" s="3">
        <v>974</v>
      </c>
      <c r="I66" s="3">
        <v>1005</v>
      </c>
      <c r="J66" s="3">
        <v>250000</v>
      </c>
      <c r="K66" s="7" t="str" cm="1">
        <f t="array" ref="K66">IF(OR(C66="",B66="",I66=""),"",IFERROR((I66-_xlfn.XLOOKUP(1,(C$2:C$501=C66)*(B$2:B$501&lt;&gt;"")*(B$2:B$501=_xlfn.MAXIFS(B$2:B$501,C$2:C$501,C66,B$2:B$501,"&lt;"&amp;B66))*(I$2:I$501&lt;&gt;""),I$2:I$501))/_xlfn.XLOOKUP(1,(C$2:C$501=C66)*(B$2:B$501&lt;&gt;"")*(B$2:B$501=_xlfn.MAXIFS(B$2:B$501,C$2:C$501,C66,B$2:B$501,"&lt;"&amp;B66))*(I$2:I$501&lt;&gt;""),I$2:I$501),""))</f>
        <v/>
      </c>
    </row>
    <row r="67" spans="1:11">
      <c r="A67" t="s">
        <v>80</v>
      </c>
      <c r="B67" s="2">
        <v>46023</v>
      </c>
      <c r="C67" t="s">
        <v>26</v>
      </c>
      <c r="D67" t="s">
        <v>27</v>
      </c>
      <c r="E67" t="s">
        <v>28</v>
      </c>
      <c r="F67" s="3">
        <v>3500</v>
      </c>
      <c r="G67" s="3">
        <v>3592</v>
      </c>
      <c r="H67" s="3">
        <v>3488</v>
      </c>
      <c r="I67" s="3">
        <v>3525</v>
      </c>
      <c r="J67" s="3"/>
      <c r="K67" s="7" t="str" cm="1">
        <f t="array" ref="K67">IF(OR(C67="",B67="",I67=""),"",IFERROR((I67-_xlfn.XLOOKUP(1,(C$2:C$501=C67)*(B$2:B$501&lt;&gt;"")*(B$2:B$501=_xlfn.MAXIFS(B$2:B$501,C$2:C$501,C67,B$2:B$501,"&lt;"&amp;B67))*(I$2:I$501&lt;&gt;""),I$2:I$501))/_xlfn.XLOOKUP(1,(C$2:C$501=C67)*(B$2:B$501&lt;&gt;"")*(B$2:B$501=_xlfn.MAXIFS(B$2:B$501,C$2:C$501,C67,B$2:B$501,"&lt;"&amp;B67))*(I$2:I$501&lt;&gt;""),I$2:I$501),""))</f>
        <v/>
      </c>
    </row>
    <row r="68" spans="1:11">
      <c r="A68" t="s">
        <v>81</v>
      </c>
      <c r="C68" t="s">
        <v>16</v>
      </c>
      <c r="D68" t="s">
        <v>17</v>
      </c>
      <c r="E68" t="s">
        <v>18</v>
      </c>
      <c r="F68" s="3">
        <v>2500</v>
      </c>
      <c r="G68" s="3">
        <v>2600</v>
      </c>
      <c r="H68" s="3">
        <v>2436</v>
      </c>
      <c r="I68" s="3">
        <v>2519</v>
      </c>
      <c r="J68" s="3">
        <v>250000</v>
      </c>
      <c r="K68" s="7" t="str" cm="1">
        <f t="array" ref="K68">IF(OR(C68="",B68="",I68=""),"",IFERROR((I68-_xlfn.XLOOKUP(1,(C$2:C$501=C68)*(B$2:B$501&lt;&gt;"")*(B$2:B$501=_xlfn.MAXIFS(B$2:B$501,C$2:C$501,C68,B$2:B$501,"&lt;"&amp;B68))*(I$2:I$501&lt;&gt;""),I$2:I$501))/_xlfn.XLOOKUP(1,(C$2:C$501=C68)*(B$2:B$501&lt;&gt;"")*(B$2:B$501=_xlfn.MAXIFS(B$2:B$501,C$2:C$501,C68,B$2:B$501,"&lt;"&amp;B68))*(I$2:I$501&lt;&gt;""),I$2:I$501),""))</f>
        <v/>
      </c>
    </row>
    <row r="69" spans="1:11">
      <c r="A69" t="s">
        <v>82</v>
      </c>
      <c r="B69" s="2">
        <v>46082</v>
      </c>
      <c r="C69" t="s">
        <v>26</v>
      </c>
      <c r="D69" t="s">
        <v>27</v>
      </c>
      <c r="E69" t="s">
        <v>28</v>
      </c>
      <c r="F69" s="3">
        <v>3500</v>
      </c>
      <c r="G69" s="3">
        <v>3542</v>
      </c>
      <c r="H69" s="3">
        <v>3426</v>
      </c>
      <c r="I69" s="3">
        <v>3513</v>
      </c>
      <c r="J69" s="3">
        <v>500000</v>
      </c>
      <c r="K69" s="7" cm="1">
        <f t="array" ref="K69">IF(OR(C69="",B69="",I69=""),"",IFERROR((I69-_xlfn.XLOOKUP(1,(C$2:C$501=C69)*(B$2:B$501&lt;&gt;"")*(B$2:B$501=_xlfn.MAXIFS(B$2:B$501,C$2:C$501,C69,B$2:B$501,"&lt;"&amp;B69))*(I$2:I$501&lt;&gt;""),I$2:I$501))/_xlfn.XLOOKUP(1,(C$2:C$501=C69)*(B$2:B$501&lt;&gt;"")*(B$2:B$501=_xlfn.MAXIFS(B$2:B$501,C$2:C$501,C69,B$2:B$501,"&lt;"&amp;B69))*(I$2:I$501&lt;&gt;""),I$2:I$501),""))</f>
        <v>-4.8158640226628894E-3</v>
      </c>
    </row>
    <row r="70" spans="1:11">
      <c r="A70" t="s">
        <v>83</v>
      </c>
      <c r="B70" s="2">
        <v>46054</v>
      </c>
      <c r="C70" t="s">
        <v>12</v>
      </c>
      <c r="D70" t="s">
        <v>13</v>
      </c>
      <c r="E70" t="s">
        <v>37</v>
      </c>
      <c r="F70" s="3"/>
      <c r="G70" s="3"/>
      <c r="H70" s="3"/>
      <c r="I70" s="3"/>
      <c r="J70" s="3">
        <v>250000</v>
      </c>
      <c r="K70" s="7" t="str" cm="1">
        <f t="array" ref="K70">IF(OR(C70="",B70="",I70=""),"",IFERROR((I70-_xlfn.XLOOKUP(1,(C$2:C$501=C70)*(B$2:B$501&lt;&gt;"")*(B$2:B$501=_xlfn.MAXIFS(B$2:B$501,C$2:C$501,C70,B$2:B$501,"&lt;"&amp;B70))*(I$2:I$501&lt;&gt;""),I$2:I$501))/_xlfn.XLOOKUP(1,(C$2:C$501=C70)*(B$2:B$501&lt;&gt;"")*(B$2:B$501=_xlfn.MAXIFS(B$2:B$501,C$2:C$501,C70,B$2:B$501,"&lt;"&amp;B70))*(I$2:I$501&lt;&gt;""),I$2:I$501),""))</f>
        <v/>
      </c>
    </row>
    <row r="71" spans="1:11">
      <c r="A71" t="s">
        <v>84</v>
      </c>
      <c r="B71" s="2">
        <v>46054</v>
      </c>
      <c r="C71" t="s">
        <v>16</v>
      </c>
      <c r="D71" t="s">
        <v>17</v>
      </c>
      <c r="E71" t="s">
        <v>18</v>
      </c>
      <c r="F71" s="3"/>
      <c r="G71" s="3"/>
      <c r="H71" s="3"/>
      <c r="I71" s="3"/>
      <c r="J71" s="3">
        <v>250000</v>
      </c>
      <c r="K71" s="7" t="str" cm="1">
        <f t="array" ref="K71">IF(OR(C71="",B71="",I71=""),"",IFERROR((I71-_xlfn.XLOOKUP(1,(C$2:C$501=C71)*(B$2:B$501&lt;&gt;"")*(B$2:B$501=_xlfn.MAXIFS(B$2:B$501,C$2:C$501,C71,B$2:B$501,"&lt;"&amp;B71))*(I$2:I$501&lt;&gt;""),I$2:I$501))/_xlfn.XLOOKUP(1,(C$2:C$501=C71)*(B$2:B$501&lt;&gt;"")*(B$2:B$501=_xlfn.MAXIFS(B$2:B$501,C$2:C$501,C71,B$2:B$501,"&lt;"&amp;B71))*(I$2:I$501&lt;&gt;""),I$2:I$501),""))</f>
        <v/>
      </c>
    </row>
    <row r="72" spans="1:11">
      <c r="A72" t="s">
        <v>85</v>
      </c>
      <c r="B72" s="2">
        <v>46082</v>
      </c>
      <c r="C72" t="s">
        <v>43</v>
      </c>
      <c r="D72" t="s">
        <v>44</v>
      </c>
      <c r="E72" t="s">
        <v>23</v>
      </c>
      <c r="F72" s="3"/>
      <c r="G72" s="3"/>
      <c r="H72" s="3"/>
      <c r="I72" s="3"/>
      <c r="J72" s="3">
        <v>100000</v>
      </c>
      <c r="K72" s="7" t="str" cm="1">
        <f t="array" ref="K72">IF(OR(C72="",B72="",I72=""),"",IFERROR((I72-_xlfn.XLOOKUP(1,(C$2:C$501=C72)*(B$2:B$501&lt;&gt;"")*(B$2:B$501=_xlfn.MAXIFS(B$2:B$501,C$2:C$501,C72,B$2:B$501,"&lt;"&amp;B72))*(I$2:I$501&lt;&gt;""),I$2:I$501))/_xlfn.XLOOKUP(1,(C$2:C$501=C72)*(B$2:B$501&lt;&gt;"")*(B$2:B$501=_xlfn.MAXIFS(B$2:B$501,C$2:C$501,C72,B$2:B$501,"&lt;"&amp;B72))*(I$2:I$501&lt;&gt;""),I$2:I$501),""))</f>
        <v/>
      </c>
    </row>
    <row r="73" spans="1:11">
      <c r="A73" t="s">
        <v>86</v>
      </c>
      <c r="B73" s="2">
        <v>46054</v>
      </c>
      <c r="C73" t="s">
        <v>16</v>
      </c>
      <c r="D73" t="s">
        <v>17</v>
      </c>
      <c r="E73" t="s">
        <v>18</v>
      </c>
      <c r="F73" s="3"/>
      <c r="G73" s="3"/>
      <c r="H73" s="3"/>
      <c r="I73" s="3"/>
      <c r="J73" s="3">
        <v>500000</v>
      </c>
      <c r="K73" s="7" t="str" cm="1">
        <f t="array" ref="K73">IF(OR(C73="",B73="",I73=""),"",IFERROR((I73-_xlfn.XLOOKUP(1,(C$2:C$501=C73)*(B$2:B$501&lt;&gt;"")*(B$2:B$501=_xlfn.MAXIFS(B$2:B$501,C$2:C$501,C73,B$2:B$501,"&lt;"&amp;B73))*(I$2:I$501&lt;&gt;""),I$2:I$501))/_xlfn.XLOOKUP(1,(C$2:C$501=C73)*(B$2:B$501&lt;&gt;"")*(B$2:B$501=_xlfn.MAXIFS(B$2:B$501,C$2:C$501,C73,B$2:B$501,"&lt;"&amp;B73))*(I$2:I$501&lt;&gt;""),I$2:I$501),""))</f>
        <v/>
      </c>
    </row>
    <row r="74" spans="1:11">
      <c r="A74" t="s">
        <v>86</v>
      </c>
      <c r="C74" t="s">
        <v>26</v>
      </c>
      <c r="D74" t="s">
        <v>27</v>
      </c>
      <c r="E74" t="s">
        <v>28</v>
      </c>
      <c r="F74" s="3"/>
      <c r="G74" s="3"/>
      <c r="H74" s="3"/>
      <c r="I74" s="3"/>
      <c r="J74" s="3">
        <v>500000</v>
      </c>
      <c r="K74" s="7" t="str" cm="1">
        <f t="array" ref="K74">IF(OR(C74="",B74="",I74=""),"",IFERROR((I74-_xlfn.XLOOKUP(1,(C$2:C$501=C74)*(B$2:B$501&lt;&gt;"")*(B$2:B$501=_xlfn.MAXIFS(B$2:B$501,C$2:C$501,C74,B$2:B$501,"&lt;"&amp;B74))*(I$2:I$501&lt;&gt;""),I$2:I$501))/_xlfn.XLOOKUP(1,(C$2:C$501=C74)*(B$2:B$501&lt;&gt;"")*(B$2:B$501=_xlfn.MAXIFS(B$2:B$501,C$2:C$501,C74,B$2:B$501,"&lt;"&amp;B74))*(I$2:I$501&lt;&gt;""),I$2:I$501),""))</f>
        <v/>
      </c>
    </row>
    <row r="75" spans="1:11">
      <c r="A75" t="s">
        <v>87</v>
      </c>
      <c r="B75" s="2">
        <v>46082</v>
      </c>
      <c r="C75" t="s">
        <v>26</v>
      </c>
      <c r="D75" t="s">
        <v>27</v>
      </c>
      <c r="E75" t="s">
        <v>28</v>
      </c>
      <c r="F75" s="3">
        <v>3500</v>
      </c>
      <c r="G75" s="3">
        <v>3598</v>
      </c>
      <c r="H75" s="3">
        <v>3427</v>
      </c>
      <c r="I75" s="3">
        <v>3482</v>
      </c>
      <c r="J75" s="3"/>
      <c r="K75" s="7" cm="1">
        <f t="array" ref="K75">IF(OR(C75="",B75="",I75=""),"",IFERROR((I75-_xlfn.XLOOKUP(1,(C$2:C$501=C75)*(B$2:B$501&lt;&gt;"")*(B$2:B$501=_xlfn.MAXIFS(B$2:B$501,C$2:C$501,C75,B$2:B$501,"&lt;"&amp;B75))*(I$2:I$501&lt;&gt;""),I$2:I$501))/_xlfn.XLOOKUP(1,(C$2:C$501=C75)*(B$2:B$501&lt;&gt;"")*(B$2:B$501=_xlfn.MAXIFS(B$2:B$501,C$2:C$501,C75,B$2:B$501,"&lt;"&amp;B75))*(I$2:I$501&lt;&gt;""),I$2:I$501),""))</f>
        <v>-1.3597733711048159E-2</v>
      </c>
    </row>
    <row r="76" spans="1:11">
      <c r="A76" t="s">
        <v>88</v>
      </c>
      <c r="B76" s="2">
        <v>46023</v>
      </c>
      <c r="C76" t="s">
        <v>16</v>
      </c>
      <c r="D76" t="s">
        <v>17</v>
      </c>
      <c r="E76" t="s">
        <v>18</v>
      </c>
      <c r="F76" s="3"/>
      <c r="G76" s="3"/>
      <c r="H76" s="3"/>
      <c r="I76" s="3"/>
      <c r="J76" s="3">
        <v>250000</v>
      </c>
      <c r="K76" s="7" t="str" cm="1">
        <f t="array" ref="K76">IF(OR(C76="",B76="",I76=""),"",IFERROR((I76-_xlfn.XLOOKUP(1,(C$2:C$501=C76)*(B$2:B$501&lt;&gt;"")*(B$2:B$501=_xlfn.MAXIFS(B$2:B$501,C$2:C$501,C76,B$2:B$501,"&lt;"&amp;B76))*(I$2:I$501&lt;&gt;""),I$2:I$501))/_xlfn.XLOOKUP(1,(C$2:C$501=C76)*(B$2:B$501&lt;&gt;"")*(B$2:B$501=_xlfn.MAXIFS(B$2:B$501,C$2:C$501,C76,B$2:B$501,"&lt;"&amp;B76))*(I$2:I$501&lt;&gt;""),I$2:I$501),""))</f>
        <v/>
      </c>
    </row>
    <row r="77" spans="1:11">
      <c r="A77" t="s">
        <v>89</v>
      </c>
      <c r="B77" s="2">
        <v>46023</v>
      </c>
      <c r="C77" t="s">
        <v>26</v>
      </c>
      <c r="D77" t="s">
        <v>27</v>
      </c>
      <c r="E77" t="s">
        <v>28</v>
      </c>
      <c r="F77" s="3">
        <v>3500</v>
      </c>
      <c r="G77" s="3">
        <v>3577</v>
      </c>
      <c r="H77" s="3">
        <v>3433</v>
      </c>
      <c r="I77" s="3">
        <v>3536</v>
      </c>
      <c r="J77" s="3">
        <v>250000</v>
      </c>
      <c r="K77" s="7" t="str" cm="1">
        <f t="array" ref="K77">IF(OR(C77="",B77="",I77=""),"",IFERROR((I77-_xlfn.XLOOKUP(1,(C$2:C$501=C77)*(B$2:B$501&lt;&gt;"")*(B$2:B$501=_xlfn.MAXIFS(B$2:B$501,C$2:C$501,C77,B$2:B$501,"&lt;"&amp;B77))*(I$2:I$501&lt;&gt;""),I$2:I$501))/_xlfn.XLOOKUP(1,(C$2:C$501=C77)*(B$2:B$501&lt;&gt;"")*(B$2:B$501=_xlfn.MAXIFS(B$2:B$501,C$2:C$501,C77,B$2:B$501,"&lt;"&amp;B77))*(I$2:I$501&lt;&gt;""),I$2:I$501),""))</f>
        <v/>
      </c>
    </row>
    <row r="78" spans="1:11">
      <c r="A78" t="s">
        <v>90</v>
      </c>
      <c r="B78" s="2">
        <v>46082</v>
      </c>
      <c r="C78" t="s">
        <v>43</v>
      </c>
      <c r="D78" t="s">
        <v>44</v>
      </c>
      <c r="E78" t="s">
        <v>23</v>
      </c>
      <c r="F78" s="3">
        <v>1000</v>
      </c>
      <c r="G78" s="3">
        <v>1092</v>
      </c>
      <c r="H78" s="3">
        <v>932</v>
      </c>
      <c r="I78" s="3">
        <v>1042</v>
      </c>
      <c r="J78" s="3"/>
      <c r="K78" s="7" cm="1">
        <f t="array" ref="K78">IF(OR(C78="",B78="",I78=""),"",IFERROR((I78-_xlfn.XLOOKUP(1,(C$2:C$501=C78)*(B$2:B$501&lt;&gt;"")*(B$2:B$501=_xlfn.MAXIFS(B$2:B$501,C$2:C$501,C78,B$2:B$501,"&lt;"&amp;B78))*(I$2:I$501&lt;&gt;""),I$2:I$501))/_xlfn.XLOOKUP(1,(C$2:C$501=C78)*(B$2:B$501&lt;&gt;"")*(B$2:B$501=_xlfn.MAXIFS(B$2:B$501,C$2:C$501,C78,B$2:B$501,"&lt;"&amp;B78))*(I$2:I$501&lt;&gt;""),I$2:I$501),""))</f>
        <v>1.9230769230769232E-3</v>
      </c>
    </row>
    <row r="79" spans="1:11">
      <c r="A79" t="s">
        <v>90</v>
      </c>
      <c r="B79" s="2">
        <v>46082</v>
      </c>
      <c r="C79" t="s">
        <v>43</v>
      </c>
      <c r="D79" t="s">
        <v>44</v>
      </c>
      <c r="E79" t="s">
        <v>23</v>
      </c>
      <c r="F79" s="3">
        <v>2500</v>
      </c>
      <c r="G79" s="3">
        <v>2522</v>
      </c>
      <c r="H79" s="3">
        <v>2454</v>
      </c>
      <c r="I79" s="3">
        <v>2470</v>
      </c>
      <c r="J79" s="3">
        <v>100000</v>
      </c>
      <c r="K79" s="7" cm="1">
        <f t="array" ref="K79">IF(OR(C79="",B79="",I79=""),"",IFERROR((I79-_xlfn.XLOOKUP(1,(C$2:C$501=C79)*(B$2:B$501&lt;&gt;"")*(B$2:B$501=_xlfn.MAXIFS(B$2:B$501,C$2:C$501,C79,B$2:B$501,"&lt;"&amp;B79))*(I$2:I$501&lt;&gt;""),I$2:I$501))/_xlfn.XLOOKUP(1,(C$2:C$501=C79)*(B$2:B$501&lt;&gt;"")*(B$2:B$501=_xlfn.MAXIFS(B$2:B$501,C$2:C$501,C79,B$2:B$501,"&lt;"&amp;B79))*(I$2:I$501&lt;&gt;""),I$2:I$501),""))</f>
        <v>1.375</v>
      </c>
    </row>
    <row r="80" spans="1:11">
      <c r="A80" t="s">
        <v>91</v>
      </c>
      <c r="C80" t="s">
        <v>12</v>
      </c>
      <c r="D80" t="s">
        <v>13</v>
      </c>
      <c r="E80" t="s">
        <v>37</v>
      </c>
      <c r="F80" s="3">
        <v>2500</v>
      </c>
      <c r="G80" s="3">
        <v>2522</v>
      </c>
      <c r="H80" s="3">
        <v>2434</v>
      </c>
      <c r="I80" s="3">
        <v>2504</v>
      </c>
      <c r="J80" s="3"/>
      <c r="K80" s="7" t="str" cm="1">
        <f t="array" ref="K80">IF(OR(C80="",B80="",I80=""),"",IFERROR((I80-_xlfn.XLOOKUP(1,(C$2:C$501=C80)*(B$2:B$501&lt;&gt;"")*(B$2:B$501=_xlfn.MAXIFS(B$2:B$501,C$2:C$501,C80,B$2:B$501,"&lt;"&amp;B80))*(I$2:I$501&lt;&gt;""),I$2:I$501))/_xlfn.XLOOKUP(1,(C$2:C$501=C80)*(B$2:B$501&lt;&gt;"")*(B$2:B$501=_xlfn.MAXIFS(B$2:B$501,C$2:C$501,C80,B$2:B$501,"&lt;"&amp;B80))*(I$2:I$501&lt;&gt;""),I$2:I$501),""))</f>
        <v/>
      </c>
    </row>
    <row r="81" spans="1:11">
      <c r="A81" t="s">
        <v>92</v>
      </c>
      <c r="B81" s="2">
        <v>46054</v>
      </c>
      <c r="C81" t="s">
        <v>22</v>
      </c>
      <c r="D81" t="s">
        <v>22</v>
      </c>
      <c r="E81" t="s">
        <v>23</v>
      </c>
      <c r="F81" s="3"/>
      <c r="G81" s="3"/>
      <c r="H81" s="3"/>
      <c r="I81" s="3"/>
      <c r="J81" s="3"/>
      <c r="K81" s="7" t="str" cm="1">
        <f t="array" ref="K81">IF(OR(C81="",B81="",I81=""),"",IFERROR((I81-_xlfn.XLOOKUP(1,(C$2:C$501=C81)*(B$2:B$501&lt;&gt;"")*(B$2:B$501=_xlfn.MAXIFS(B$2:B$501,C$2:C$501,C81,B$2:B$501,"&lt;"&amp;B81))*(I$2:I$501&lt;&gt;""),I$2:I$501))/_xlfn.XLOOKUP(1,(C$2:C$501=C81)*(B$2:B$501&lt;&gt;"")*(B$2:B$501=_xlfn.MAXIFS(B$2:B$501,C$2:C$501,C81,B$2:B$501,"&lt;"&amp;B81))*(I$2:I$501&lt;&gt;""),I$2:I$501),""))</f>
        <v/>
      </c>
    </row>
    <row r="82" spans="1:11">
      <c r="A82" t="s">
        <v>93</v>
      </c>
      <c r="C82" t="s">
        <v>22</v>
      </c>
      <c r="D82" t="s">
        <v>22</v>
      </c>
      <c r="E82" t="s">
        <v>23</v>
      </c>
      <c r="F82" s="3">
        <v>2500</v>
      </c>
      <c r="G82" s="3">
        <v>2573</v>
      </c>
      <c r="H82" s="3">
        <v>2424</v>
      </c>
      <c r="I82" s="3">
        <v>2484</v>
      </c>
      <c r="J82" s="3">
        <v>500000</v>
      </c>
      <c r="K82" s="7" t="str" cm="1">
        <f t="array" ref="K82">IF(OR(C82="",B82="",I82=""),"",IFERROR((I82-_xlfn.XLOOKUP(1,(C$2:C$501=C82)*(B$2:B$501&lt;&gt;"")*(B$2:B$501=_xlfn.MAXIFS(B$2:B$501,C$2:C$501,C82,B$2:B$501,"&lt;"&amp;B82))*(I$2:I$501&lt;&gt;""),I$2:I$501))/_xlfn.XLOOKUP(1,(C$2:C$501=C82)*(B$2:B$501&lt;&gt;"")*(B$2:B$501=_xlfn.MAXIFS(B$2:B$501,C$2:C$501,C82,B$2:B$501,"&lt;"&amp;B82))*(I$2:I$501&lt;&gt;""),I$2:I$501),""))</f>
        <v/>
      </c>
    </row>
    <row r="83" spans="1:11">
      <c r="A83" t="s">
        <v>93</v>
      </c>
      <c r="B83" s="2">
        <v>46082</v>
      </c>
      <c r="C83" t="s">
        <v>16</v>
      </c>
      <c r="D83" t="s">
        <v>17</v>
      </c>
      <c r="E83" t="s">
        <v>18</v>
      </c>
      <c r="F83" s="3">
        <v>2500</v>
      </c>
      <c r="G83" s="3">
        <v>2556</v>
      </c>
      <c r="H83" s="3">
        <v>2453</v>
      </c>
      <c r="I83" s="3">
        <v>2518</v>
      </c>
      <c r="J83" s="3">
        <v>100000</v>
      </c>
      <c r="K83" s="7" cm="1">
        <f t="array" ref="K83">IF(OR(C83="",B83="",I83=""),"",IFERROR((I83-_xlfn.XLOOKUP(1,(C$2:C$501=C83)*(B$2:B$501&lt;&gt;"")*(B$2:B$501=_xlfn.MAXIFS(B$2:B$501,C$2:C$501,C83,B$2:B$501,"&lt;"&amp;B83))*(I$2:I$501&lt;&gt;""),I$2:I$501))/_xlfn.XLOOKUP(1,(C$2:C$501=C83)*(B$2:B$501&lt;&gt;"")*(B$2:B$501=_xlfn.MAXIFS(B$2:B$501,C$2:C$501,C83,B$2:B$501,"&lt;"&amp;B83))*(I$2:I$501&lt;&gt;""),I$2:I$501),""))</f>
        <v>-0.27456064534716218</v>
      </c>
    </row>
    <row r="84" spans="1:11">
      <c r="A84" t="s">
        <v>94</v>
      </c>
      <c r="B84" s="2">
        <v>46054</v>
      </c>
      <c r="C84" t="s">
        <v>16</v>
      </c>
      <c r="D84" t="s">
        <v>17</v>
      </c>
      <c r="E84" t="s">
        <v>18</v>
      </c>
      <c r="F84" s="3">
        <v>3500</v>
      </c>
      <c r="G84" s="3">
        <v>3548</v>
      </c>
      <c r="H84" s="3">
        <v>3426</v>
      </c>
      <c r="I84" s="3">
        <v>3520</v>
      </c>
      <c r="J84" s="3">
        <v>250000</v>
      </c>
      <c r="K84" s="7" cm="1">
        <f t="array" ref="K84">IF(OR(C84="",B84="",I84=""),"",IFERROR((I84-_xlfn.XLOOKUP(1,(C$2:C$501=C84)*(B$2:B$501&lt;&gt;"")*(B$2:B$501=_xlfn.MAXIFS(B$2:B$501,C$2:C$501,C84,B$2:B$501,"&lt;"&amp;B84))*(I$2:I$501&lt;&gt;""),I$2:I$501))/_xlfn.XLOOKUP(1,(C$2:C$501=C84)*(B$2:B$501&lt;&gt;"")*(B$2:B$501=_xlfn.MAXIFS(B$2:B$501,C$2:C$501,C84,B$2:B$501,"&lt;"&amp;B84))*(I$2:I$501&lt;&gt;""),I$2:I$501),""))</f>
        <v>0.41992739007664381</v>
      </c>
    </row>
    <row r="85" spans="1:11">
      <c r="A85" t="s">
        <v>95</v>
      </c>
      <c r="B85" s="2">
        <v>46054</v>
      </c>
      <c r="C85" t="s">
        <v>22</v>
      </c>
      <c r="D85" t="s">
        <v>22</v>
      </c>
      <c r="E85" t="s">
        <v>23</v>
      </c>
      <c r="F85" s="3">
        <v>1000</v>
      </c>
      <c r="G85" s="3">
        <v>1051</v>
      </c>
      <c r="H85" s="3">
        <v>944</v>
      </c>
      <c r="I85" s="3">
        <v>951</v>
      </c>
      <c r="J85" s="3">
        <v>250000</v>
      </c>
      <c r="K85" s="7" cm="1">
        <f t="array" ref="K85">IF(OR(C85="",B85="",I85=""),"",IFERROR((I85-_xlfn.XLOOKUP(1,(C$2:C$501=C85)*(B$2:B$501&lt;&gt;"")*(B$2:B$501=_xlfn.MAXIFS(B$2:B$501,C$2:C$501,C85,B$2:B$501,"&lt;"&amp;B85))*(I$2:I$501&lt;&gt;""),I$2:I$501))/_xlfn.XLOOKUP(1,(C$2:C$501=C85)*(B$2:B$501&lt;&gt;"")*(B$2:B$501=_xlfn.MAXIFS(B$2:B$501,C$2:C$501,C85,B$2:B$501,"&lt;"&amp;B85))*(I$2:I$501&lt;&gt;""),I$2:I$501),""))</f>
        <v>-2.8600612870275793E-2</v>
      </c>
    </row>
    <row r="86" spans="1:11">
      <c r="A86" t="s">
        <v>96</v>
      </c>
      <c r="B86" s="2">
        <v>46082</v>
      </c>
      <c r="C86" t="s">
        <v>26</v>
      </c>
      <c r="D86" t="s">
        <v>27</v>
      </c>
      <c r="E86" t="s">
        <v>28</v>
      </c>
      <c r="F86" s="3">
        <v>3500</v>
      </c>
      <c r="G86" s="3">
        <v>3564</v>
      </c>
      <c r="H86" s="3">
        <v>3435</v>
      </c>
      <c r="I86" s="3">
        <v>3535</v>
      </c>
      <c r="J86" s="3">
        <v>500000</v>
      </c>
      <c r="K86" s="7" cm="1">
        <f t="array" ref="K86">IF(OR(C86="",B86="",I86=""),"",IFERROR((I86-_xlfn.XLOOKUP(1,(C$2:C$501=C86)*(B$2:B$501&lt;&gt;"")*(B$2:B$501=_xlfn.MAXIFS(B$2:B$501,C$2:C$501,C86,B$2:B$501,"&lt;"&amp;B86))*(I$2:I$501&lt;&gt;""),I$2:I$501))/_xlfn.XLOOKUP(1,(C$2:C$501=C86)*(B$2:B$501&lt;&gt;"")*(B$2:B$501=_xlfn.MAXIFS(B$2:B$501,C$2:C$501,C86,B$2:B$501,"&lt;"&amp;B86))*(I$2:I$501&lt;&gt;""),I$2:I$501),""))</f>
        <v>1.4164305949008499E-3</v>
      </c>
    </row>
    <row r="87" spans="1:11">
      <c r="A87" t="s">
        <v>96</v>
      </c>
      <c r="B87" s="2">
        <v>46082</v>
      </c>
      <c r="C87" t="s">
        <v>43</v>
      </c>
      <c r="D87" t="s">
        <v>44</v>
      </c>
      <c r="E87" t="s">
        <v>23</v>
      </c>
      <c r="F87" s="3">
        <v>3500</v>
      </c>
      <c r="G87" s="3">
        <v>3526</v>
      </c>
      <c r="H87" s="3">
        <v>3479</v>
      </c>
      <c r="I87" s="3">
        <v>3508</v>
      </c>
      <c r="J87" s="3">
        <v>500000</v>
      </c>
      <c r="K87" s="7" cm="1">
        <f t="array" ref="K87">IF(OR(C87="",B87="",I87=""),"",IFERROR((I87-_xlfn.XLOOKUP(1,(C$2:C$501=C87)*(B$2:B$501&lt;&gt;"")*(B$2:B$501=_xlfn.MAXIFS(B$2:B$501,C$2:C$501,C87,B$2:B$501,"&lt;"&amp;B87))*(I$2:I$501&lt;&gt;""),I$2:I$501))/_xlfn.XLOOKUP(1,(C$2:C$501=C87)*(B$2:B$501&lt;&gt;"")*(B$2:B$501=_xlfn.MAXIFS(B$2:B$501,C$2:C$501,C87,B$2:B$501,"&lt;"&amp;B87))*(I$2:I$501&lt;&gt;""),I$2:I$501),""))</f>
        <v>2.3730769230769231</v>
      </c>
    </row>
    <row r="88" spans="1:11">
      <c r="A88" t="s">
        <v>97</v>
      </c>
      <c r="B88" s="2">
        <v>46023</v>
      </c>
      <c r="C88" t="s">
        <v>16</v>
      </c>
      <c r="D88" t="s">
        <v>17</v>
      </c>
      <c r="E88" t="s">
        <v>18</v>
      </c>
      <c r="F88" s="3">
        <v>3500</v>
      </c>
      <c r="G88" s="3">
        <v>3597</v>
      </c>
      <c r="H88" s="3">
        <v>3441</v>
      </c>
      <c r="I88" s="3">
        <v>3548</v>
      </c>
      <c r="J88" s="3"/>
      <c r="K88" s="7" t="str" cm="1">
        <f t="array" ref="K88">IF(OR(C88="",B88="",I88=""),"",IFERROR((I88-_xlfn.XLOOKUP(1,(C$2:C$501=C88)*(B$2:B$501&lt;&gt;"")*(B$2:B$501=_xlfn.MAXIFS(B$2:B$501,C$2:C$501,C88,B$2:B$501,"&lt;"&amp;B88))*(I$2:I$501&lt;&gt;""),I$2:I$501))/_xlfn.XLOOKUP(1,(C$2:C$501=C88)*(B$2:B$501&lt;&gt;"")*(B$2:B$501=_xlfn.MAXIFS(B$2:B$501,C$2:C$501,C88,B$2:B$501,"&lt;"&amp;B88))*(I$2:I$501&lt;&gt;""),I$2:I$501),""))</f>
        <v/>
      </c>
    </row>
    <row r="89" spans="1:11">
      <c r="A89" t="s">
        <v>97</v>
      </c>
      <c r="B89" s="2">
        <v>46023</v>
      </c>
      <c r="C89" t="s">
        <v>12</v>
      </c>
      <c r="D89" t="s">
        <v>13</v>
      </c>
      <c r="E89" t="s">
        <v>37</v>
      </c>
      <c r="F89" s="3">
        <v>2500</v>
      </c>
      <c r="G89" s="3">
        <v>2566</v>
      </c>
      <c r="H89" s="3">
        <v>2473</v>
      </c>
      <c r="I89" s="3">
        <v>2499</v>
      </c>
      <c r="J89" s="3"/>
      <c r="K89" s="7" t="str" cm="1">
        <f t="array" ref="K89">IF(OR(C89="",B89="",I89=""),"",IFERROR((I89-_xlfn.XLOOKUP(1,(C$2:C$501=C89)*(B$2:B$501&lt;&gt;"")*(B$2:B$501=_xlfn.MAXIFS(B$2:B$501,C$2:C$501,C89,B$2:B$501,"&lt;"&amp;B89))*(I$2:I$501&lt;&gt;""),I$2:I$501))/_xlfn.XLOOKUP(1,(C$2:C$501=C89)*(B$2:B$501&lt;&gt;"")*(B$2:B$501=_xlfn.MAXIFS(B$2:B$501,C$2:C$501,C89,B$2:B$501,"&lt;"&amp;B89))*(I$2:I$501&lt;&gt;""),I$2:I$501),""))</f>
        <v/>
      </c>
    </row>
    <row r="90" spans="1:11">
      <c r="A90" t="s">
        <v>98</v>
      </c>
      <c r="B90" s="2">
        <v>46054</v>
      </c>
      <c r="C90" t="s">
        <v>12</v>
      </c>
      <c r="D90" t="s">
        <v>13</v>
      </c>
      <c r="E90" t="s">
        <v>37</v>
      </c>
      <c r="F90" s="3">
        <v>3500</v>
      </c>
      <c r="G90" s="3">
        <v>3555</v>
      </c>
      <c r="H90" s="3">
        <v>3483</v>
      </c>
      <c r="I90" s="3">
        <v>3505</v>
      </c>
      <c r="J90" s="3">
        <v>100000</v>
      </c>
      <c r="K90" s="7" cm="1">
        <f t="array" ref="K90">IF(OR(C90="",B90="",I90=""),"",IFERROR((I90-_xlfn.XLOOKUP(1,(C$2:C$501=C90)*(B$2:B$501&lt;&gt;"")*(B$2:B$501=_xlfn.MAXIFS(B$2:B$501,C$2:C$501,C90,B$2:B$501,"&lt;"&amp;B90))*(I$2:I$501&lt;&gt;""),I$2:I$501))/_xlfn.XLOOKUP(1,(C$2:C$501=C90)*(B$2:B$501&lt;&gt;"")*(B$2:B$501=_xlfn.MAXIFS(B$2:B$501,C$2:C$501,C90,B$2:B$501,"&lt;"&amp;B90))*(I$2:I$501&lt;&gt;""),I$2:I$501),""))</f>
        <v>0.4173069146785281</v>
      </c>
    </row>
    <row r="91" spans="1:11">
      <c r="A91" t="s">
        <v>99</v>
      </c>
      <c r="B91" s="2">
        <v>46023</v>
      </c>
      <c r="C91" t="s">
        <v>22</v>
      </c>
      <c r="D91" t="s">
        <v>22</v>
      </c>
      <c r="E91" t="s">
        <v>23</v>
      </c>
      <c r="F91" s="3"/>
      <c r="G91" s="3"/>
      <c r="H91" s="3"/>
      <c r="I91" s="3"/>
      <c r="J91" s="3">
        <v>250000</v>
      </c>
      <c r="K91" s="7" t="str" cm="1">
        <f t="array" ref="K91">IF(OR(C91="",B91="",I91=""),"",IFERROR((I91-_xlfn.XLOOKUP(1,(C$2:C$501=C91)*(B$2:B$501&lt;&gt;"")*(B$2:B$501=_xlfn.MAXIFS(B$2:B$501,C$2:C$501,C91,B$2:B$501,"&lt;"&amp;B91))*(I$2:I$501&lt;&gt;""),I$2:I$501))/_xlfn.XLOOKUP(1,(C$2:C$501=C91)*(B$2:B$501&lt;&gt;"")*(B$2:B$501=_xlfn.MAXIFS(B$2:B$501,C$2:C$501,C91,B$2:B$501,"&lt;"&amp;B91))*(I$2:I$501&lt;&gt;""),I$2:I$501),""))</f>
        <v/>
      </c>
    </row>
    <row r="92" spans="1:11">
      <c r="A92" t="s">
        <v>100</v>
      </c>
      <c r="B92" s="2">
        <v>46054</v>
      </c>
      <c r="C92" t="s">
        <v>26</v>
      </c>
      <c r="D92" t="s">
        <v>27</v>
      </c>
      <c r="E92" t="s">
        <v>28</v>
      </c>
      <c r="F92" s="3">
        <v>3500</v>
      </c>
      <c r="G92" s="3">
        <v>3549</v>
      </c>
      <c r="H92" s="3">
        <v>3447</v>
      </c>
      <c r="I92" s="3">
        <v>3530</v>
      </c>
      <c r="J92" s="3">
        <v>500000</v>
      </c>
      <c r="K92" s="7" cm="1">
        <f t="array" ref="K92">IF(OR(C92="",B92="",I92=""),"",IFERROR((I92-_xlfn.XLOOKUP(1,(C$2:C$501=C92)*(B$2:B$501&lt;&gt;"")*(B$2:B$501=_xlfn.MAXIFS(B$2:B$501,C$2:C$501,C92,B$2:B$501,"&lt;"&amp;B92))*(I$2:I$501&lt;&gt;""),I$2:I$501))/_xlfn.XLOOKUP(1,(C$2:C$501=C92)*(B$2:B$501&lt;&gt;"")*(B$2:B$501=_xlfn.MAXIFS(B$2:B$501,C$2:C$501,C92,B$2:B$501,"&lt;"&amp;B92))*(I$2:I$501&lt;&gt;""),I$2:I$501),""))</f>
        <v>0.39580862000790829</v>
      </c>
    </row>
    <row r="93" spans="1:11">
      <c r="A93" t="s">
        <v>101</v>
      </c>
      <c r="B93" s="2">
        <v>46082</v>
      </c>
      <c r="C93" t="s">
        <v>12</v>
      </c>
      <c r="D93" t="s">
        <v>13</v>
      </c>
      <c r="E93" t="s">
        <v>37</v>
      </c>
      <c r="F93" s="3">
        <v>2500</v>
      </c>
      <c r="G93" s="3">
        <v>2510</v>
      </c>
      <c r="H93" s="3">
        <v>2472</v>
      </c>
      <c r="I93" s="3">
        <v>2492</v>
      </c>
      <c r="J93" s="3">
        <v>500000</v>
      </c>
      <c r="K93" s="7" cm="1">
        <f t="array" ref="K93">IF(OR(C93="",B93="",I93=""),"",IFERROR((I93-_xlfn.XLOOKUP(1,(C$2:C$501=C93)*(B$2:B$501&lt;&gt;"")*(B$2:B$501=_xlfn.MAXIFS(B$2:B$501,C$2:C$501,C93,B$2:B$501,"&lt;"&amp;B93))*(I$2:I$501&lt;&gt;""),I$2:I$501))/_xlfn.XLOOKUP(1,(C$2:C$501=C93)*(B$2:B$501&lt;&gt;"")*(B$2:B$501=_xlfn.MAXIFS(B$2:B$501,C$2:C$501,C93,B$2:B$501,"&lt;"&amp;B93))*(I$2:I$501&lt;&gt;""),I$2:I$501),""))</f>
        <v>8.4985835694051E-3</v>
      </c>
    </row>
    <row r="94" spans="1:11">
      <c r="A94" t="s">
        <v>102</v>
      </c>
      <c r="C94" t="s">
        <v>43</v>
      </c>
      <c r="D94" t="s">
        <v>44</v>
      </c>
      <c r="E94" t="s">
        <v>23</v>
      </c>
      <c r="F94" s="3">
        <v>1000</v>
      </c>
      <c r="G94" s="3">
        <v>1035</v>
      </c>
      <c r="H94" s="3">
        <v>925</v>
      </c>
      <c r="I94" s="3">
        <v>1020</v>
      </c>
      <c r="J94" s="3">
        <v>250000</v>
      </c>
      <c r="K94" s="7" t="str" cm="1">
        <f t="array" ref="K94">IF(OR(C94="",B94="",I94=""),"",IFERROR((I94-_xlfn.XLOOKUP(1,(C$2:C$501=C94)*(B$2:B$501&lt;&gt;"")*(B$2:B$501=_xlfn.MAXIFS(B$2:B$501,C$2:C$501,C94,B$2:B$501,"&lt;"&amp;B94))*(I$2:I$501&lt;&gt;""),I$2:I$501))/_xlfn.XLOOKUP(1,(C$2:C$501=C94)*(B$2:B$501&lt;&gt;"")*(B$2:B$501=_xlfn.MAXIFS(B$2:B$501,C$2:C$501,C94,B$2:B$501,"&lt;"&amp;B94))*(I$2:I$501&lt;&gt;""),I$2:I$501),""))</f>
        <v/>
      </c>
    </row>
    <row r="95" spans="1:11">
      <c r="A95" t="s">
        <v>102</v>
      </c>
      <c r="B95" s="2">
        <v>46054</v>
      </c>
      <c r="C95" t="s">
        <v>22</v>
      </c>
      <c r="D95" t="s">
        <v>22</v>
      </c>
      <c r="E95" t="s">
        <v>23</v>
      </c>
      <c r="F95" s="3"/>
      <c r="G95" s="3"/>
      <c r="H95" s="3"/>
      <c r="I95" s="3"/>
      <c r="J95" s="3">
        <v>500000</v>
      </c>
      <c r="K95" s="7" t="str" cm="1">
        <f t="array" ref="K95">IF(OR(C95="",B95="",I95=""),"",IFERROR((I95-_xlfn.XLOOKUP(1,(C$2:C$501=C95)*(B$2:B$501&lt;&gt;"")*(B$2:B$501=_xlfn.MAXIFS(B$2:B$501,C$2:C$501,C95,B$2:B$501,"&lt;"&amp;B95))*(I$2:I$501&lt;&gt;""),I$2:I$501))/_xlfn.XLOOKUP(1,(C$2:C$501=C95)*(B$2:B$501&lt;&gt;"")*(B$2:B$501=_xlfn.MAXIFS(B$2:B$501,C$2:C$501,C95,B$2:B$501,"&lt;"&amp;B95))*(I$2:I$501&lt;&gt;""),I$2:I$501),""))</f>
        <v/>
      </c>
    </row>
    <row r="96" spans="1:11">
      <c r="A96" t="s">
        <v>103</v>
      </c>
      <c r="B96" s="2">
        <v>46023</v>
      </c>
      <c r="C96" t="s">
        <v>12</v>
      </c>
      <c r="D96" t="s">
        <v>13</v>
      </c>
      <c r="E96" t="s">
        <v>37</v>
      </c>
      <c r="F96" s="3"/>
      <c r="G96" s="3"/>
      <c r="H96" s="3"/>
      <c r="I96" s="3"/>
      <c r="J96" s="3"/>
      <c r="K96" s="7" t="str" cm="1">
        <f t="array" ref="K96">IF(OR(C96="",B96="",I96=""),"",IFERROR((I96-_xlfn.XLOOKUP(1,(C$2:C$501=C96)*(B$2:B$501&lt;&gt;"")*(B$2:B$501=_xlfn.MAXIFS(B$2:B$501,C$2:C$501,C96,B$2:B$501,"&lt;"&amp;B96))*(I$2:I$501&lt;&gt;""),I$2:I$501))/_xlfn.XLOOKUP(1,(C$2:C$501=C96)*(B$2:B$501&lt;&gt;"")*(B$2:B$501=_xlfn.MAXIFS(B$2:B$501,C$2:C$501,C96,B$2:B$501,"&lt;"&amp;B96))*(I$2:I$501&lt;&gt;""),I$2:I$501),""))</f>
        <v/>
      </c>
    </row>
    <row r="97" spans="1:11">
      <c r="A97" t="s">
        <v>103</v>
      </c>
      <c r="B97" s="2">
        <v>46023</v>
      </c>
      <c r="C97" t="s">
        <v>12</v>
      </c>
      <c r="D97" t="s">
        <v>13</v>
      </c>
      <c r="E97" t="s">
        <v>37</v>
      </c>
      <c r="F97" s="3">
        <v>3500</v>
      </c>
      <c r="G97" s="3">
        <v>3523</v>
      </c>
      <c r="H97" s="3">
        <v>3487</v>
      </c>
      <c r="I97" s="3">
        <v>3462</v>
      </c>
      <c r="J97" s="3">
        <v>500000</v>
      </c>
      <c r="K97" s="7" t="str" cm="1">
        <f t="array" ref="K97">IF(OR(C97="",B97="",I97=""),"",IFERROR((I97-_xlfn.XLOOKUP(1,(C$2:C$501=C97)*(B$2:B$501&lt;&gt;"")*(B$2:B$501=_xlfn.MAXIFS(B$2:B$501,C$2:C$501,C97,B$2:B$501,"&lt;"&amp;B97))*(I$2:I$501&lt;&gt;""),I$2:I$501))/_xlfn.XLOOKUP(1,(C$2:C$501=C97)*(B$2:B$501&lt;&gt;"")*(B$2:B$501=_xlfn.MAXIFS(B$2:B$501,C$2:C$501,C97,B$2:B$501,"&lt;"&amp;B97))*(I$2:I$501&lt;&gt;""),I$2:I$501),""))</f>
        <v/>
      </c>
    </row>
    <row r="98" spans="1:11">
      <c r="A98" t="s">
        <v>104</v>
      </c>
      <c r="C98" t="s">
        <v>12</v>
      </c>
      <c r="D98" t="s">
        <v>13</v>
      </c>
      <c r="E98" t="s">
        <v>37</v>
      </c>
      <c r="F98" s="3">
        <v>1000</v>
      </c>
      <c r="G98" s="3">
        <v>1091</v>
      </c>
      <c r="H98" s="3">
        <v>934</v>
      </c>
      <c r="I98" s="3">
        <v>1010</v>
      </c>
      <c r="J98" s="3">
        <v>250000</v>
      </c>
      <c r="K98" s="7" t="str" cm="1">
        <f t="array" ref="K98">IF(OR(C98="",B98="",I98=""),"",IFERROR((I98-_xlfn.XLOOKUP(1,(C$2:C$501=C98)*(B$2:B$501&lt;&gt;"")*(B$2:B$501=_xlfn.MAXIFS(B$2:B$501,C$2:C$501,C98,B$2:B$501,"&lt;"&amp;B98))*(I$2:I$501&lt;&gt;""),I$2:I$501))/_xlfn.XLOOKUP(1,(C$2:C$501=C98)*(B$2:B$501&lt;&gt;"")*(B$2:B$501=_xlfn.MAXIFS(B$2:B$501,C$2:C$501,C98,B$2:B$501,"&lt;"&amp;B98))*(I$2:I$501&lt;&gt;""),I$2:I$501),""))</f>
        <v/>
      </c>
    </row>
    <row r="99" spans="1:11">
      <c r="A99" t="s">
        <v>105</v>
      </c>
      <c r="B99" s="2">
        <v>46082</v>
      </c>
      <c r="C99" t="s">
        <v>43</v>
      </c>
      <c r="D99" t="s">
        <v>44</v>
      </c>
      <c r="E99" t="s">
        <v>23</v>
      </c>
      <c r="F99" s="3">
        <v>3500</v>
      </c>
      <c r="G99" s="3">
        <v>3555</v>
      </c>
      <c r="H99" s="3">
        <v>3453</v>
      </c>
      <c r="I99" s="3">
        <v>3481</v>
      </c>
      <c r="J99" s="3">
        <v>500000</v>
      </c>
      <c r="K99" s="7" cm="1">
        <f t="array" ref="K99">IF(OR(C99="",B99="",I99=""),"",IFERROR((I99-_xlfn.XLOOKUP(1,(C$2:C$501=C99)*(B$2:B$501&lt;&gt;"")*(B$2:B$501=_xlfn.MAXIFS(B$2:B$501,C$2:C$501,C99,B$2:B$501,"&lt;"&amp;B99))*(I$2:I$501&lt;&gt;""),I$2:I$501))/_xlfn.XLOOKUP(1,(C$2:C$501=C99)*(B$2:B$501&lt;&gt;"")*(B$2:B$501=_xlfn.MAXIFS(B$2:B$501,C$2:C$501,C99,B$2:B$501,"&lt;"&amp;B99))*(I$2:I$501&lt;&gt;""),I$2:I$501),""))</f>
        <v>2.3471153846153845</v>
      </c>
    </row>
    <row r="100" spans="1:11">
      <c r="A100" t="s">
        <v>106</v>
      </c>
      <c r="B100" s="2">
        <v>46082</v>
      </c>
      <c r="C100" t="s">
        <v>26</v>
      </c>
      <c r="D100" t="s">
        <v>27</v>
      </c>
      <c r="E100" t="s">
        <v>28</v>
      </c>
      <c r="F100" s="3"/>
      <c r="G100" s="3"/>
      <c r="H100" s="3"/>
      <c r="I100" s="3"/>
      <c r="J100" s="3">
        <v>500000</v>
      </c>
      <c r="K100" s="7" t="str" cm="1">
        <f t="array" ref="K100">IF(OR(C100="",B100="",I100=""),"",IFERROR((I100-_xlfn.XLOOKUP(1,(C$2:C$501=C100)*(B$2:B$501&lt;&gt;"")*(B$2:B$501=_xlfn.MAXIFS(B$2:B$501,C$2:C$501,C100,B$2:B$501,"&lt;"&amp;B100))*(I$2:I$501&lt;&gt;""),I$2:I$501))/_xlfn.XLOOKUP(1,(C$2:C$501=C100)*(B$2:B$501&lt;&gt;"")*(B$2:B$501=_xlfn.MAXIFS(B$2:B$501,C$2:C$501,C100,B$2:B$501,"&lt;"&amp;B100))*(I$2:I$501&lt;&gt;""),I$2:I$501),""))</f>
        <v/>
      </c>
    </row>
    <row r="101" spans="1:11">
      <c r="A101" t="s">
        <v>107</v>
      </c>
      <c r="B101" s="2">
        <v>46054</v>
      </c>
      <c r="C101" t="s">
        <v>12</v>
      </c>
      <c r="D101" t="s">
        <v>13</v>
      </c>
      <c r="E101" t="s">
        <v>37</v>
      </c>
      <c r="F101" s="3"/>
      <c r="G101" s="3"/>
      <c r="H101" s="3"/>
      <c r="I101" s="3"/>
      <c r="J101" s="3">
        <v>500000</v>
      </c>
      <c r="K101" s="7" t="str" cm="1">
        <f t="array" ref="K101">IF(OR(C101="",B101="",I101=""),"",IFERROR((I101-_xlfn.XLOOKUP(1,(C$2:C$501=C101)*(B$2:B$501&lt;&gt;"")*(B$2:B$501=_xlfn.MAXIFS(B$2:B$501,C$2:C$501,C101,B$2:B$501,"&lt;"&amp;B101))*(I$2:I$501&lt;&gt;""),I$2:I$501))/_xlfn.XLOOKUP(1,(C$2:C$501=C101)*(B$2:B$501&lt;&gt;"")*(B$2:B$501=_xlfn.MAXIFS(B$2:B$501,C$2:C$501,C101,B$2:B$501,"&lt;"&amp;B101))*(I$2:I$501&lt;&gt;""),I$2:I$501),""))</f>
        <v/>
      </c>
    </row>
    <row r="102" spans="1:11">
      <c r="A102" t="s">
        <v>107</v>
      </c>
      <c r="C102" t="s">
        <v>12</v>
      </c>
      <c r="D102" t="s">
        <v>13</v>
      </c>
      <c r="E102" t="s">
        <v>37</v>
      </c>
      <c r="F102" s="3">
        <v>3500</v>
      </c>
      <c r="G102" s="3">
        <v>3523</v>
      </c>
      <c r="H102" s="3">
        <v>3459</v>
      </c>
      <c r="I102" s="3">
        <v>3482</v>
      </c>
      <c r="J102" s="3">
        <v>100000</v>
      </c>
      <c r="K102" s="7" t="str" cm="1">
        <f t="array" ref="K102">IF(OR(C102="",B102="",I102=""),"",IFERROR((I102-_xlfn.XLOOKUP(1,(C$2:C$501=C102)*(B$2:B$501&lt;&gt;"")*(B$2:B$501=_xlfn.MAXIFS(B$2:B$501,C$2:C$501,C102,B$2:B$501,"&lt;"&amp;B102))*(I$2:I$501&lt;&gt;""),I$2:I$501))/_xlfn.XLOOKUP(1,(C$2:C$501=C102)*(B$2:B$501&lt;&gt;"")*(B$2:B$501=_xlfn.MAXIFS(B$2:B$501,C$2:C$501,C102,B$2:B$501,"&lt;"&amp;B102))*(I$2:I$501&lt;&gt;""),I$2:I$501),""))</f>
        <v/>
      </c>
    </row>
    <row r="103" spans="1:11">
      <c r="A103" t="s">
        <v>108</v>
      </c>
      <c r="B103" s="2">
        <v>46054</v>
      </c>
      <c r="C103" t="s">
        <v>43</v>
      </c>
      <c r="D103" t="s">
        <v>44</v>
      </c>
      <c r="E103" t="s">
        <v>23</v>
      </c>
      <c r="F103" s="3">
        <v>1000</v>
      </c>
      <c r="G103" s="3">
        <v>1048</v>
      </c>
      <c r="H103" s="3">
        <v>961</v>
      </c>
      <c r="I103" s="3">
        <v>1040</v>
      </c>
      <c r="J103" s="3"/>
      <c r="K103" s="7" cm="1">
        <f t="array" ref="K103">IF(OR(C103="",B103="",I103=""),"",IFERROR((I103-_xlfn.XLOOKUP(1,(C$2:C$501=C103)*(B$2:B$501&lt;&gt;"")*(B$2:B$501=_xlfn.MAXIFS(B$2:B$501,C$2:C$501,C103,B$2:B$501,"&lt;"&amp;B103))*(I$2:I$501&lt;&gt;""),I$2:I$501))/_xlfn.XLOOKUP(1,(C$2:C$501=C103)*(B$2:B$501&lt;&gt;"")*(B$2:B$501=_xlfn.MAXIFS(B$2:B$501,C$2:C$501,C103,B$2:B$501,"&lt;"&amp;B103))*(I$2:I$501&lt;&gt;""),I$2:I$501),""))</f>
        <v>-0.58148893360160969</v>
      </c>
    </row>
    <row r="104" spans="1:11">
      <c r="A104" t="s">
        <v>109</v>
      </c>
      <c r="B104" s="2">
        <v>46054</v>
      </c>
      <c r="C104" t="s">
        <v>26</v>
      </c>
      <c r="D104" t="s">
        <v>27</v>
      </c>
      <c r="E104" t="s">
        <v>28</v>
      </c>
      <c r="F104" s="3"/>
      <c r="G104" s="3"/>
      <c r="H104" s="3"/>
      <c r="I104" s="3"/>
      <c r="J104" s="3">
        <v>250000</v>
      </c>
      <c r="K104" s="7" t="str" cm="1">
        <f t="array" ref="K104">IF(OR(C104="",B104="",I104=""),"",IFERROR((I104-_xlfn.XLOOKUP(1,(C$2:C$501=C104)*(B$2:B$501&lt;&gt;"")*(B$2:B$501=_xlfn.MAXIFS(B$2:B$501,C$2:C$501,C104,B$2:B$501,"&lt;"&amp;B104))*(I$2:I$501&lt;&gt;""),I$2:I$501))/_xlfn.XLOOKUP(1,(C$2:C$501=C104)*(B$2:B$501&lt;&gt;"")*(B$2:B$501=_xlfn.MAXIFS(B$2:B$501,C$2:C$501,C104,B$2:B$501,"&lt;"&amp;B104))*(I$2:I$501&lt;&gt;""),I$2:I$501),""))</f>
        <v/>
      </c>
    </row>
    <row r="105" spans="1:11">
      <c r="A105" t="s">
        <v>109</v>
      </c>
      <c r="C105" t="s">
        <v>43</v>
      </c>
      <c r="D105" t="s">
        <v>44</v>
      </c>
      <c r="E105" t="s">
        <v>23</v>
      </c>
      <c r="F105" s="3"/>
      <c r="G105" s="3"/>
      <c r="H105" s="3"/>
      <c r="I105" s="3"/>
      <c r="J105" s="3">
        <v>250000</v>
      </c>
      <c r="K105" s="7" t="str" cm="1">
        <f t="array" ref="K105">IF(OR(C105="",B105="",I105=""),"",IFERROR((I105-_xlfn.XLOOKUP(1,(C$2:C$501=C105)*(B$2:B$501&lt;&gt;"")*(B$2:B$501=_xlfn.MAXIFS(B$2:B$501,C$2:C$501,C105,B$2:B$501,"&lt;"&amp;B105))*(I$2:I$501&lt;&gt;""),I$2:I$501))/_xlfn.XLOOKUP(1,(C$2:C$501=C105)*(B$2:B$501&lt;&gt;"")*(B$2:B$501=_xlfn.MAXIFS(B$2:B$501,C$2:C$501,C105,B$2:B$501,"&lt;"&amp;B105))*(I$2:I$501&lt;&gt;""),I$2:I$501),""))</f>
        <v/>
      </c>
    </row>
    <row r="106" spans="1:11">
      <c r="A106" t="s">
        <v>110</v>
      </c>
      <c r="B106" s="2">
        <v>46054</v>
      </c>
      <c r="C106" t="s">
        <v>26</v>
      </c>
      <c r="D106" t="s">
        <v>27</v>
      </c>
      <c r="E106" t="s">
        <v>28</v>
      </c>
      <c r="F106" s="3">
        <v>2500</v>
      </c>
      <c r="G106" s="3">
        <v>2555</v>
      </c>
      <c r="H106" s="3">
        <v>2424</v>
      </c>
      <c r="I106" s="3">
        <v>2527</v>
      </c>
      <c r="J106" s="3"/>
      <c r="K106" s="7" cm="1">
        <f t="array" ref="K106">IF(OR(C106="",B106="",I106=""),"",IFERROR((I106-_xlfn.XLOOKUP(1,(C$2:C$501=C106)*(B$2:B$501&lt;&gt;"")*(B$2:B$501=_xlfn.MAXIFS(B$2:B$501,C$2:C$501,C106,B$2:B$501,"&lt;"&amp;B106))*(I$2:I$501&lt;&gt;""),I$2:I$501))/_xlfn.XLOOKUP(1,(C$2:C$501=C106)*(B$2:B$501&lt;&gt;"")*(B$2:B$501=_xlfn.MAXIFS(B$2:B$501,C$2:C$501,C106,B$2:B$501,"&lt;"&amp;B106))*(I$2:I$501&lt;&gt;""),I$2:I$501),""))</f>
        <v>-7.9082641360221433E-4</v>
      </c>
    </row>
    <row r="107" spans="1:11">
      <c r="A107" t="s">
        <v>110</v>
      </c>
      <c r="C107" t="s">
        <v>16</v>
      </c>
      <c r="D107" t="s">
        <v>17</v>
      </c>
      <c r="E107" t="s">
        <v>18</v>
      </c>
      <c r="F107" s="3"/>
      <c r="G107" s="3"/>
      <c r="H107" s="3"/>
      <c r="I107" s="3"/>
      <c r="J107" s="3">
        <v>500000</v>
      </c>
      <c r="K107" s="7" t="str" cm="1">
        <f t="array" ref="K107">IF(OR(C107="",B107="",I107=""),"",IFERROR((I107-_xlfn.XLOOKUP(1,(C$2:C$501=C107)*(B$2:B$501&lt;&gt;"")*(B$2:B$501=_xlfn.MAXIFS(B$2:B$501,C$2:C$501,C107,B$2:B$501,"&lt;"&amp;B107))*(I$2:I$501&lt;&gt;""),I$2:I$501))/_xlfn.XLOOKUP(1,(C$2:C$501=C107)*(B$2:B$501&lt;&gt;"")*(B$2:B$501=_xlfn.MAXIFS(B$2:B$501,C$2:C$501,C107,B$2:B$501,"&lt;"&amp;B107))*(I$2:I$501&lt;&gt;""),I$2:I$501),""))</f>
        <v/>
      </c>
    </row>
    <row r="108" spans="1:11">
      <c r="A108" t="s">
        <v>111</v>
      </c>
      <c r="B108" s="2">
        <v>46082</v>
      </c>
      <c r="C108" t="s">
        <v>22</v>
      </c>
      <c r="D108" t="s">
        <v>22</v>
      </c>
      <c r="E108" t="s">
        <v>23</v>
      </c>
      <c r="F108" s="3">
        <v>2500</v>
      </c>
      <c r="G108" s="3">
        <v>2566</v>
      </c>
      <c r="H108" s="3">
        <v>2435</v>
      </c>
      <c r="I108" s="3">
        <v>2498</v>
      </c>
      <c r="J108" s="3"/>
      <c r="K108" s="7" cm="1">
        <f t="array" ref="K108">IF(OR(C108="",B108="",I108=""),"",IFERROR((I108-_xlfn.XLOOKUP(1,(C$2:C$501=C108)*(B$2:B$501&lt;&gt;"")*(B$2:B$501=_xlfn.MAXIFS(B$2:B$501,C$2:C$501,C108,B$2:B$501,"&lt;"&amp;B108))*(I$2:I$501&lt;&gt;""),I$2:I$501))/_xlfn.XLOOKUP(1,(C$2:C$501=C108)*(B$2:B$501&lt;&gt;"")*(B$2:B$501=_xlfn.MAXIFS(B$2:B$501,C$2:C$501,C108,B$2:B$501,"&lt;"&amp;B108))*(I$2:I$501&lt;&gt;""),I$2:I$501),""))</f>
        <v>-0.29154849688031764</v>
      </c>
    </row>
    <row r="109" spans="1:11">
      <c r="A109" t="s">
        <v>112</v>
      </c>
      <c r="B109" s="2">
        <v>46023</v>
      </c>
      <c r="C109" t="s">
        <v>26</v>
      </c>
      <c r="D109" t="s">
        <v>27</v>
      </c>
      <c r="E109" t="s">
        <v>28</v>
      </c>
      <c r="F109" s="3">
        <v>2500</v>
      </c>
      <c r="G109" s="3">
        <v>2585</v>
      </c>
      <c r="H109" s="3">
        <v>2490</v>
      </c>
      <c r="I109" s="3">
        <v>2481</v>
      </c>
      <c r="J109" s="3">
        <v>100000</v>
      </c>
      <c r="K109" s="7" t="str" cm="1">
        <f t="array" ref="K109">IF(OR(C109="",B109="",I109=""),"",IFERROR((I109-_xlfn.XLOOKUP(1,(C$2:C$501=C109)*(B$2:B$501&lt;&gt;"")*(B$2:B$501=_xlfn.MAXIFS(B$2:B$501,C$2:C$501,C109,B$2:B$501,"&lt;"&amp;B109))*(I$2:I$501&lt;&gt;""),I$2:I$501))/_xlfn.XLOOKUP(1,(C$2:C$501=C109)*(B$2:B$501&lt;&gt;"")*(B$2:B$501=_xlfn.MAXIFS(B$2:B$501,C$2:C$501,C109,B$2:B$501,"&lt;"&amp;B109))*(I$2:I$501&lt;&gt;""),I$2:I$501),""))</f>
        <v/>
      </c>
    </row>
    <row r="110" spans="1:11">
      <c r="A110" t="s">
        <v>113</v>
      </c>
      <c r="B110" s="2">
        <v>46054</v>
      </c>
      <c r="C110" t="s">
        <v>22</v>
      </c>
      <c r="D110" t="s">
        <v>22</v>
      </c>
      <c r="E110" t="s">
        <v>23</v>
      </c>
      <c r="F110" s="3"/>
      <c r="G110" s="3"/>
      <c r="H110" s="3"/>
      <c r="I110" s="3"/>
      <c r="J110" s="3">
        <v>250000</v>
      </c>
      <c r="K110" s="7" t="str" cm="1">
        <f t="array" ref="K110">IF(OR(C110="",B110="",I110=""),"",IFERROR((I110-_xlfn.XLOOKUP(1,(C$2:C$501=C110)*(B$2:B$501&lt;&gt;"")*(B$2:B$501=_xlfn.MAXIFS(B$2:B$501,C$2:C$501,C110,B$2:B$501,"&lt;"&amp;B110))*(I$2:I$501&lt;&gt;""),I$2:I$501))/_xlfn.XLOOKUP(1,(C$2:C$501=C110)*(B$2:B$501&lt;&gt;"")*(B$2:B$501=_xlfn.MAXIFS(B$2:B$501,C$2:C$501,C110,B$2:B$501,"&lt;"&amp;B110))*(I$2:I$501&lt;&gt;""),I$2:I$501),""))</f>
        <v/>
      </c>
    </row>
    <row r="111" spans="1:11">
      <c r="A111" t="s">
        <v>114</v>
      </c>
      <c r="C111" t="s">
        <v>22</v>
      </c>
      <c r="D111" t="s">
        <v>22</v>
      </c>
      <c r="E111" t="s">
        <v>23</v>
      </c>
      <c r="F111" s="3"/>
      <c r="G111" s="3"/>
      <c r="H111" s="3"/>
      <c r="I111" s="3"/>
      <c r="J111" s="3">
        <v>500000</v>
      </c>
      <c r="K111" s="7" t="str" cm="1">
        <f t="array" ref="K111">IF(OR(C111="",B111="",I111=""),"",IFERROR((I111-_xlfn.XLOOKUP(1,(C$2:C$501=C111)*(B$2:B$501&lt;&gt;"")*(B$2:B$501=_xlfn.MAXIFS(B$2:B$501,C$2:C$501,C111,B$2:B$501,"&lt;"&amp;B111))*(I$2:I$501&lt;&gt;""),I$2:I$501))/_xlfn.XLOOKUP(1,(C$2:C$501=C111)*(B$2:B$501&lt;&gt;"")*(B$2:B$501=_xlfn.MAXIFS(B$2:B$501,C$2:C$501,C111,B$2:B$501,"&lt;"&amp;B111))*(I$2:I$501&lt;&gt;""),I$2:I$501),""))</f>
        <v/>
      </c>
    </row>
    <row r="112" spans="1:11">
      <c r="A112" t="s">
        <v>115</v>
      </c>
      <c r="B112" s="2">
        <v>46082</v>
      </c>
      <c r="C112" t="s">
        <v>22</v>
      </c>
      <c r="D112" t="s">
        <v>22</v>
      </c>
      <c r="E112" t="s">
        <v>23</v>
      </c>
      <c r="F112" s="3"/>
      <c r="G112" s="3"/>
      <c r="H112" s="3"/>
      <c r="I112" s="3"/>
      <c r="J112" s="3"/>
      <c r="K112" s="7" t="str" cm="1">
        <f t="array" ref="K112">IF(OR(C112="",B112="",I112=""),"",IFERROR((I112-_xlfn.XLOOKUP(1,(C$2:C$501=C112)*(B$2:B$501&lt;&gt;"")*(B$2:B$501=_xlfn.MAXIFS(B$2:B$501,C$2:C$501,C112,B$2:B$501,"&lt;"&amp;B112))*(I$2:I$501&lt;&gt;""),I$2:I$501))/_xlfn.XLOOKUP(1,(C$2:C$501=C112)*(B$2:B$501&lt;&gt;"")*(B$2:B$501=_xlfn.MAXIFS(B$2:B$501,C$2:C$501,C112,B$2:B$501,"&lt;"&amp;B112))*(I$2:I$501&lt;&gt;""),I$2:I$501),""))</f>
        <v/>
      </c>
    </row>
    <row r="113" spans="1:11">
      <c r="A113" t="s">
        <v>116</v>
      </c>
      <c r="B113" s="2">
        <v>46023</v>
      </c>
      <c r="C113" t="s">
        <v>16</v>
      </c>
      <c r="D113" t="s">
        <v>17</v>
      </c>
      <c r="E113" t="s">
        <v>18</v>
      </c>
      <c r="F113" s="3"/>
      <c r="G113" s="3"/>
      <c r="H113" s="3"/>
      <c r="I113" s="3"/>
      <c r="J113" s="3"/>
      <c r="K113" s="7" t="str" cm="1">
        <f t="array" ref="K113">IF(OR(C113="",B113="",I113=""),"",IFERROR((I113-_xlfn.XLOOKUP(1,(C$2:C$501=C113)*(B$2:B$501&lt;&gt;"")*(B$2:B$501=_xlfn.MAXIFS(B$2:B$501,C$2:C$501,C113,B$2:B$501,"&lt;"&amp;B113))*(I$2:I$501&lt;&gt;""),I$2:I$501))/_xlfn.XLOOKUP(1,(C$2:C$501=C113)*(B$2:B$501&lt;&gt;"")*(B$2:B$501=_xlfn.MAXIFS(B$2:B$501,C$2:C$501,C113,B$2:B$501,"&lt;"&amp;B113))*(I$2:I$501&lt;&gt;""),I$2:I$501),""))</f>
        <v/>
      </c>
    </row>
    <row r="114" spans="1:11">
      <c r="A114" t="s">
        <v>116</v>
      </c>
      <c r="B114" s="2">
        <v>46023</v>
      </c>
      <c r="C114" t="s">
        <v>43</v>
      </c>
      <c r="D114" t="s">
        <v>44</v>
      </c>
      <c r="E114" t="s">
        <v>23</v>
      </c>
      <c r="F114" s="3">
        <v>2500</v>
      </c>
      <c r="G114" s="3">
        <v>2556</v>
      </c>
      <c r="H114" s="3">
        <v>2464</v>
      </c>
      <c r="I114" s="3">
        <v>2485</v>
      </c>
      <c r="J114" s="3">
        <v>100000</v>
      </c>
      <c r="K114" s="7" t="str" cm="1">
        <f t="array" ref="K114">IF(OR(C114="",B114="",I114=""),"",IFERROR((I114-_xlfn.XLOOKUP(1,(C$2:C$501=C114)*(B$2:B$501&lt;&gt;"")*(B$2:B$501=_xlfn.MAXIFS(B$2:B$501,C$2:C$501,C114,B$2:B$501,"&lt;"&amp;B114))*(I$2:I$501&lt;&gt;""),I$2:I$501))/_xlfn.XLOOKUP(1,(C$2:C$501=C114)*(B$2:B$501&lt;&gt;"")*(B$2:B$501=_xlfn.MAXIFS(B$2:B$501,C$2:C$501,C114,B$2:B$501,"&lt;"&amp;B114))*(I$2:I$501&lt;&gt;""),I$2:I$501),""))</f>
        <v/>
      </c>
    </row>
    <row r="115" spans="1:11">
      <c r="A115" t="s">
        <v>117</v>
      </c>
      <c r="C115" t="s">
        <v>16</v>
      </c>
      <c r="D115" t="s">
        <v>17</v>
      </c>
      <c r="E115" t="s">
        <v>18</v>
      </c>
      <c r="F115" s="3">
        <v>3500</v>
      </c>
      <c r="G115" s="3">
        <v>3562</v>
      </c>
      <c r="H115" s="3">
        <v>3432</v>
      </c>
      <c r="I115" s="3">
        <v>3454</v>
      </c>
      <c r="J115" s="3">
        <v>250000</v>
      </c>
      <c r="K115" s="7" t="str" cm="1">
        <f t="array" ref="K115">IF(OR(C115="",B115="",I115=""),"",IFERROR((I115-_xlfn.XLOOKUP(1,(C$2:C$501=C115)*(B$2:B$501&lt;&gt;"")*(B$2:B$501=_xlfn.MAXIFS(B$2:B$501,C$2:C$501,C115,B$2:B$501,"&lt;"&amp;B115))*(I$2:I$501&lt;&gt;""),I$2:I$501))/_xlfn.XLOOKUP(1,(C$2:C$501=C115)*(B$2:B$501&lt;&gt;"")*(B$2:B$501=_xlfn.MAXIFS(B$2:B$501,C$2:C$501,C115,B$2:B$501,"&lt;"&amp;B115))*(I$2:I$501&lt;&gt;""),I$2:I$501),""))</f>
        <v/>
      </c>
    </row>
    <row r="116" spans="1:11">
      <c r="A116" t="s">
        <v>118</v>
      </c>
      <c r="B116" s="2">
        <v>46082</v>
      </c>
      <c r="C116" t="s">
        <v>43</v>
      </c>
      <c r="D116" t="s">
        <v>44</v>
      </c>
      <c r="E116" t="s">
        <v>23</v>
      </c>
      <c r="F116" s="3"/>
      <c r="G116" s="3"/>
      <c r="H116" s="3"/>
      <c r="I116" s="3"/>
      <c r="J116" s="3">
        <v>100000</v>
      </c>
      <c r="K116" s="7" t="str" cm="1">
        <f t="array" ref="K116">IF(OR(C116="",B116="",I116=""),"",IFERROR((I116-_xlfn.XLOOKUP(1,(C$2:C$501=C116)*(B$2:B$501&lt;&gt;"")*(B$2:B$501=_xlfn.MAXIFS(B$2:B$501,C$2:C$501,C116,B$2:B$501,"&lt;"&amp;B116))*(I$2:I$501&lt;&gt;""),I$2:I$501))/_xlfn.XLOOKUP(1,(C$2:C$501=C116)*(B$2:B$501&lt;&gt;"")*(B$2:B$501=_xlfn.MAXIFS(B$2:B$501,C$2:C$501,C116,B$2:B$501,"&lt;"&amp;B116))*(I$2:I$501&lt;&gt;""),I$2:I$501),""))</f>
        <v/>
      </c>
    </row>
    <row r="117" spans="1:11">
      <c r="A117" t="s">
        <v>118</v>
      </c>
      <c r="B117" s="2">
        <v>46082</v>
      </c>
      <c r="C117" t="s">
        <v>43</v>
      </c>
      <c r="D117" t="s">
        <v>44</v>
      </c>
      <c r="E117" t="s">
        <v>23</v>
      </c>
      <c r="F117" s="3">
        <v>1000</v>
      </c>
      <c r="G117" s="3">
        <v>1036</v>
      </c>
      <c r="H117" s="3">
        <v>984</v>
      </c>
      <c r="I117" s="3">
        <v>990</v>
      </c>
      <c r="J117" s="3"/>
      <c r="K117" s="7" cm="1">
        <f t="array" ref="K117">IF(OR(C117="",B117="",I117=""),"",IFERROR((I117-_xlfn.XLOOKUP(1,(C$2:C$501=C117)*(B$2:B$501&lt;&gt;"")*(B$2:B$501=_xlfn.MAXIFS(B$2:B$501,C$2:C$501,C117,B$2:B$501,"&lt;"&amp;B117))*(I$2:I$501&lt;&gt;""),I$2:I$501))/_xlfn.XLOOKUP(1,(C$2:C$501=C117)*(B$2:B$501&lt;&gt;"")*(B$2:B$501=_xlfn.MAXIFS(B$2:B$501,C$2:C$501,C117,B$2:B$501,"&lt;"&amp;B117))*(I$2:I$501&lt;&gt;""),I$2:I$501),""))</f>
        <v>-4.807692307692308E-2</v>
      </c>
    </row>
    <row r="118" spans="1:11">
      <c r="A118" t="s">
        <v>119</v>
      </c>
      <c r="B118" s="2">
        <v>46082</v>
      </c>
      <c r="C118" t="s">
        <v>16</v>
      </c>
      <c r="D118" t="s">
        <v>17</v>
      </c>
      <c r="E118" t="s">
        <v>18</v>
      </c>
      <c r="F118" s="3">
        <v>3500</v>
      </c>
      <c r="G118" s="3">
        <v>3516</v>
      </c>
      <c r="H118" s="3">
        <v>3422</v>
      </c>
      <c r="I118" s="3">
        <v>3457</v>
      </c>
      <c r="J118" s="3"/>
      <c r="K118" s="7" cm="1">
        <f t="array" ref="K118">IF(OR(C118="",B118="",I118=""),"",IFERROR((I118-_xlfn.XLOOKUP(1,(C$2:C$501=C118)*(B$2:B$501&lt;&gt;"")*(B$2:B$501=_xlfn.MAXIFS(B$2:B$501,C$2:C$501,C118,B$2:B$501,"&lt;"&amp;B118))*(I$2:I$501&lt;&gt;""),I$2:I$501))/_xlfn.XLOOKUP(1,(C$2:C$501=C118)*(B$2:B$501&lt;&gt;"")*(B$2:B$501=_xlfn.MAXIFS(B$2:B$501,C$2:C$501,C118,B$2:B$501,"&lt;"&amp;B118))*(I$2:I$501&lt;&gt;""),I$2:I$501),""))</f>
        <v>-4.0334197637568424E-3</v>
      </c>
    </row>
    <row r="119" spans="1:11">
      <c r="A119" t="s">
        <v>120</v>
      </c>
      <c r="B119" s="2">
        <v>46023</v>
      </c>
      <c r="C119" t="s">
        <v>16</v>
      </c>
      <c r="D119" t="s">
        <v>17</v>
      </c>
      <c r="E119" t="s">
        <v>18</v>
      </c>
      <c r="F119" s="3">
        <v>2500</v>
      </c>
      <c r="G119" s="3">
        <v>2587</v>
      </c>
      <c r="H119" s="3">
        <v>2471</v>
      </c>
      <c r="I119" s="3">
        <v>2499</v>
      </c>
      <c r="J119" s="3">
        <v>100000</v>
      </c>
      <c r="K119" s="7" t="str" cm="1">
        <f t="array" ref="K119">IF(OR(C119="",B119="",I119=""),"",IFERROR((I119-_xlfn.XLOOKUP(1,(C$2:C$501=C119)*(B$2:B$501&lt;&gt;"")*(B$2:B$501=_xlfn.MAXIFS(B$2:B$501,C$2:C$501,C119,B$2:B$501,"&lt;"&amp;B119))*(I$2:I$501&lt;&gt;""),I$2:I$501))/_xlfn.XLOOKUP(1,(C$2:C$501=C119)*(B$2:B$501&lt;&gt;"")*(B$2:B$501=_xlfn.MAXIFS(B$2:B$501,C$2:C$501,C119,B$2:B$501,"&lt;"&amp;B119))*(I$2:I$501&lt;&gt;""),I$2:I$501),""))</f>
        <v/>
      </c>
    </row>
    <row r="120" spans="1:11">
      <c r="A120" t="s">
        <v>121</v>
      </c>
      <c r="B120" s="2">
        <v>46023</v>
      </c>
      <c r="C120" t="s">
        <v>22</v>
      </c>
      <c r="D120" t="s">
        <v>22</v>
      </c>
      <c r="E120" t="s">
        <v>23</v>
      </c>
      <c r="F120" s="3">
        <v>3500</v>
      </c>
      <c r="G120" s="3">
        <v>3571</v>
      </c>
      <c r="H120" s="3">
        <v>3467</v>
      </c>
      <c r="I120" s="3">
        <v>3486</v>
      </c>
      <c r="J120" s="3"/>
      <c r="K120" s="7" t="str" cm="1">
        <f t="array" ref="K120">IF(OR(C120="",B120="",I120=""),"",IFERROR((I120-_xlfn.XLOOKUP(1,(C$2:C$501=C120)*(B$2:B$501&lt;&gt;"")*(B$2:B$501=_xlfn.MAXIFS(B$2:B$501,C$2:C$501,C120,B$2:B$501,"&lt;"&amp;B120))*(I$2:I$501&lt;&gt;""),I$2:I$501))/_xlfn.XLOOKUP(1,(C$2:C$501=C120)*(B$2:B$501&lt;&gt;"")*(B$2:B$501=_xlfn.MAXIFS(B$2:B$501,C$2:C$501,C120,B$2:B$501,"&lt;"&amp;B120))*(I$2:I$501&lt;&gt;""),I$2:I$501),""))</f>
        <v/>
      </c>
    </row>
    <row r="121" spans="1:11">
      <c r="A121" t="s">
        <v>121</v>
      </c>
      <c r="B121" s="2">
        <v>46023</v>
      </c>
      <c r="C121" t="s">
        <v>43</v>
      </c>
      <c r="D121" t="s">
        <v>44</v>
      </c>
      <c r="E121" t="s">
        <v>23</v>
      </c>
      <c r="F121" s="3">
        <v>1000</v>
      </c>
      <c r="G121" s="3">
        <v>1049</v>
      </c>
      <c r="H121" s="3">
        <v>979</v>
      </c>
      <c r="I121" s="3">
        <v>1048</v>
      </c>
      <c r="J121" s="3">
        <v>500000</v>
      </c>
      <c r="K121" s="7" t="str" cm="1">
        <f t="array" ref="K121">IF(OR(C121="",B121="",I121=""),"",IFERROR((I121-_xlfn.XLOOKUP(1,(C$2:C$501=C121)*(B$2:B$501&lt;&gt;"")*(B$2:B$501=_xlfn.MAXIFS(B$2:B$501,C$2:C$501,C121,B$2:B$501,"&lt;"&amp;B121))*(I$2:I$501&lt;&gt;""),I$2:I$501))/_xlfn.XLOOKUP(1,(C$2:C$501=C121)*(B$2:B$501&lt;&gt;"")*(B$2:B$501=_xlfn.MAXIFS(B$2:B$501,C$2:C$501,C121,B$2:B$501,"&lt;"&amp;B121))*(I$2:I$501&lt;&gt;""),I$2:I$501),""))</f>
        <v/>
      </c>
    </row>
    <row r="122" spans="1:11">
      <c r="A122" t="s">
        <v>122</v>
      </c>
      <c r="B122" s="2">
        <v>46023</v>
      </c>
      <c r="C122" t="s">
        <v>43</v>
      </c>
      <c r="D122" t="s">
        <v>44</v>
      </c>
      <c r="E122" t="s">
        <v>23</v>
      </c>
      <c r="F122" s="3">
        <v>2500</v>
      </c>
      <c r="G122" s="3">
        <v>2566</v>
      </c>
      <c r="H122" s="3">
        <v>2485</v>
      </c>
      <c r="I122" s="3">
        <v>2469</v>
      </c>
      <c r="J122" s="3"/>
      <c r="K122" s="7" t="str" cm="1">
        <f t="array" ref="K122">IF(OR(C122="",B122="",I122=""),"",IFERROR((I122-_xlfn.XLOOKUP(1,(C$2:C$501=C122)*(B$2:B$501&lt;&gt;"")*(B$2:B$501=_xlfn.MAXIFS(B$2:B$501,C$2:C$501,C122,B$2:B$501,"&lt;"&amp;B122))*(I$2:I$501&lt;&gt;""),I$2:I$501))/_xlfn.XLOOKUP(1,(C$2:C$501=C122)*(B$2:B$501&lt;&gt;"")*(B$2:B$501=_xlfn.MAXIFS(B$2:B$501,C$2:C$501,C122,B$2:B$501,"&lt;"&amp;B122))*(I$2:I$501&lt;&gt;""),I$2:I$501),""))</f>
        <v/>
      </c>
    </row>
    <row r="123" spans="1:11">
      <c r="A123" t="s">
        <v>123</v>
      </c>
      <c r="B123" s="2">
        <v>46023</v>
      </c>
      <c r="C123" t="s">
        <v>43</v>
      </c>
      <c r="D123" t="s">
        <v>44</v>
      </c>
      <c r="E123" t="s">
        <v>23</v>
      </c>
      <c r="F123" s="3">
        <v>1000</v>
      </c>
      <c r="G123" s="3">
        <v>1057</v>
      </c>
      <c r="H123" s="3">
        <v>963</v>
      </c>
      <c r="I123" s="3">
        <v>1046</v>
      </c>
      <c r="J123" s="3">
        <v>100000</v>
      </c>
      <c r="K123" s="7" t="str" cm="1">
        <f t="array" ref="K123">IF(OR(C123="",B123="",I123=""),"",IFERROR((I123-_xlfn.XLOOKUP(1,(C$2:C$501=C123)*(B$2:B$501&lt;&gt;"")*(B$2:B$501=_xlfn.MAXIFS(B$2:B$501,C$2:C$501,C123,B$2:B$501,"&lt;"&amp;B123))*(I$2:I$501&lt;&gt;""),I$2:I$501))/_xlfn.XLOOKUP(1,(C$2:C$501=C123)*(B$2:B$501&lt;&gt;"")*(B$2:B$501=_xlfn.MAXIFS(B$2:B$501,C$2:C$501,C123,B$2:B$501,"&lt;"&amp;B123))*(I$2:I$501&lt;&gt;""),I$2:I$501),""))</f>
        <v/>
      </c>
    </row>
    <row r="124" spans="1:11">
      <c r="A124" t="s">
        <v>123</v>
      </c>
      <c r="B124" s="2">
        <v>46023</v>
      </c>
      <c r="C124" t="s">
        <v>12</v>
      </c>
      <c r="D124" t="s">
        <v>13</v>
      </c>
      <c r="E124" t="s">
        <v>37</v>
      </c>
      <c r="F124" s="3">
        <v>1000</v>
      </c>
      <c r="G124" s="3">
        <v>1086</v>
      </c>
      <c r="H124" s="3">
        <v>938</v>
      </c>
      <c r="I124" s="3">
        <v>977</v>
      </c>
      <c r="J124" s="3">
        <v>100000</v>
      </c>
      <c r="K124" s="7" t="str" cm="1">
        <f t="array" ref="K124">IF(OR(C124="",B124="",I124=""),"",IFERROR((I124-_xlfn.XLOOKUP(1,(C$2:C$501=C124)*(B$2:B$501&lt;&gt;"")*(B$2:B$501=_xlfn.MAXIFS(B$2:B$501,C$2:C$501,C124,B$2:B$501,"&lt;"&amp;B124))*(I$2:I$501&lt;&gt;""),I$2:I$501))/_xlfn.XLOOKUP(1,(C$2:C$501=C124)*(B$2:B$501&lt;&gt;"")*(B$2:B$501=_xlfn.MAXIFS(B$2:B$501,C$2:C$501,C124,B$2:B$501,"&lt;"&amp;B124))*(I$2:I$501&lt;&gt;""),I$2:I$501),""))</f>
        <v/>
      </c>
    </row>
    <row r="125" spans="1:11">
      <c r="A125" t="s">
        <v>124</v>
      </c>
      <c r="C125" t="s">
        <v>43</v>
      </c>
      <c r="D125" t="s">
        <v>44</v>
      </c>
      <c r="E125" t="s">
        <v>23</v>
      </c>
      <c r="F125" s="3">
        <v>3500</v>
      </c>
      <c r="G125" s="3">
        <v>3536</v>
      </c>
      <c r="H125" s="3">
        <v>3482</v>
      </c>
      <c r="I125" s="3">
        <v>3458</v>
      </c>
      <c r="J125" s="3"/>
      <c r="K125" s="7" t="str" cm="1">
        <f t="array" ref="K125">IF(OR(C125="",B125="",I125=""),"",IFERROR((I125-_xlfn.XLOOKUP(1,(C$2:C$501=C125)*(B$2:B$501&lt;&gt;"")*(B$2:B$501=_xlfn.MAXIFS(B$2:B$501,C$2:C$501,C125,B$2:B$501,"&lt;"&amp;B125))*(I$2:I$501&lt;&gt;""),I$2:I$501))/_xlfn.XLOOKUP(1,(C$2:C$501=C125)*(B$2:B$501&lt;&gt;"")*(B$2:B$501=_xlfn.MAXIFS(B$2:B$501,C$2:C$501,C125,B$2:B$501,"&lt;"&amp;B125))*(I$2:I$501&lt;&gt;""),I$2:I$501),""))</f>
        <v/>
      </c>
    </row>
    <row r="126" spans="1:11">
      <c r="A126" t="s">
        <v>125</v>
      </c>
      <c r="C126" t="s">
        <v>43</v>
      </c>
      <c r="D126" t="s">
        <v>44</v>
      </c>
      <c r="E126" t="s">
        <v>23</v>
      </c>
      <c r="F126" s="3">
        <v>1000</v>
      </c>
      <c r="G126" s="3">
        <v>1019</v>
      </c>
      <c r="H126" s="3">
        <v>973</v>
      </c>
      <c r="I126" s="3">
        <v>951</v>
      </c>
      <c r="J126" s="3"/>
      <c r="K126" s="7" t="str" cm="1">
        <f t="array" ref="K126">IF(OR(C126="",B126="",I126=""),"",IFERROR((I126-_xlfn.XLOOKUP(1,(C$2:C$501=C126)*(B$2:B$501&lt;&gt;"")*(B$2:B$501=_xlfn.MAXIFS(B$2:B$501,C$2:C$501,C126,B$2:B$501,"&lt;"&amp;B126))*(I$2:I$501&lt;&gt;""),I$2:I$501))/_xlfn.XLOOKUP(1,(C$2:C$501=C126)*(B$2:B$501&lt;&gt;"")*(B$2:B$501=_xlfn.MAXIFS(B$2:B$501,C$2:C$501,C126,B$2:B$501,"&lt;"&amp;B126))*(I$2:I$501&lt;&gt;""),I$2:I$501),""))</f>
        <v/>
      </c>
    </row>
    <row r="127" spans="1:11">
      <c r="A127" t="s">
        <v>126</v>
      </c>
      <c r="C127" t="s">
        <v>43</v>
      </c>
      <c r="D127" t="s">
        <v>44</v>
      </c>
      <c r="E127" t="s">
        <v>23</v>
      </c>
      <c r="F127" s="3"/>
      <c r="G127" s="3"/>
      <c r="H127" s="3"/>
      <c r="I127" s="3"/>
      <c r="J127" s="3">
        <v>100000</v>
      </c>
      <c r="K127" s="7" t="str" cm="1">
        <f t="array" ref="K127">IF(OR(C127="",B127="",I127=""),"",IFERROR((I127-_xlfn.XLOOKUP(1,(C$2:C$501=C127)*(B$2:B$501&lt;&gt;"")*(B$2:B$501=_xlfn.MAXIFS(B$2:B$501,C$2:C$501,C127,B$2:B$501,"&lt;"&amp;B127))*(I$2:I$501&lt;&gt;""),I$2:I$501))/_xlfn.XLOOKUP(1,(C$2:C$501=C127)*(B$2:B$501&lt;&gt;"")*(B$2:B$501=_xlfn.MAXIFS(B$2:B$501,C$2:C$501,C127,B$2:B$501,"&lt;"&amp;B127))*(I$2:I$501&lt;&gt;""),I$2:I$501),""))</f>
        <v/>
      </c>
    </row>
    <row r="128" spans="1:11">
      <c r="A128" t="s">
        <v>127</v>
      </c>
      <c r="B128" s="2">
        <v>46023</v>
      </c>
      <c r="C128" t="s">
        <v>26</v>
      </c>
      <c r="D128" t="s">
        <v>27</v>
      </c>
      <c r="E128" t="s">
        <v>28</v>
      </c>
      <c r="F128" s="3">
        <v>3500</v>
      </c>
      <c r="G128" s="3">
        <v>3537</v>
      </c>
      <c r="H128" s="3">
        <v>3431</v>
      </c>
      <c r="I128" s="3">
        <v>3495</v>
      </c>
      <c r="J128" s="3">
        <v>250000</v>
      </c>
      <c r="K128" s="7" t="str" cm="1">
        <f t="array" ref="K128">IF(OR(C128="",B128="",I128=""),"",IFERROR((I128-_xlfn.XLOOKUP(1,(C$2:C$501=C128)*(B$2:B$501&lt;&gt;"")*(B$2:B$501=_xlfn.MAXIFS(B$2:B$501,C$2:C$501,C128,B$2:B$501,"&lt;"&amp;B128))*(I$2:I$501&lt;&gt;""),I$2:I$501))/_xlfn.XLOOKUP(1,(C$2:C$501=C128)*(B$2:B$501&lt;&gt;"")*(B$2:B$501=_xlfn.MAXIFS(B$2:B$501,C$2:C$501,C128,B$2:B$501,"&lt;"&amp;B128))*(I$2:I$501&lt;&gt;""),I$2:I$501),""))</f>
        <v/>
      </c>
    </row>
    <row r="129" spans="1:11">
      <c r="A129" t="s">
        <v>127</v>
      </c>
      <c r="B129" s="2">
        <v>46082</v>
      </c>
      <c r="C129" t="s">
        <v>16</v>
      </c>
      <c r="D129" t="s">
        <v>17</v>
      </c>
      <c r="E129" t="s">
        <v>18</v>
      </c>
      <c r="F129" s="3">
        <v>1000</v>
      </c>
      <c r="G129" s="3">
        <v>1057</v>
      </c>
      <c r="H129" s="3">
        <v>977</v>
      </c>
      <c r="I129" s="3">
        <v>973</v>
      </c>
      <c r="J129" s="3">
        <v>250000</v>
      </c>
      <c r="K129" s="7" cm="1">
        <f t="array" ref="K129">IF(OR(C129="",B129="",I129=""),"",IFERROR((I129-_xlfn.XLOOKUP(1,(C$2:C$501=C129)*(B$2:B$501&lt;&gt;"")*(B$2:B$501=_xlfn.MAXIFS(B$2:B$501,C$2:C$501,C129,B$2:B$501,"&lt;"&amp;B129))*(I$2:I$501&lt;&gt;""),I$2:I$501))/_xlfn.XLOOKUP(1,(C$2:C$501=C129)*(B$2:B$501&lt;&gt;"")*(B$2:B$501=_xlfn.MAXIFS(B$2:B$501,C$2:C$501,C129,B$2:B$501,"&lt;"&amp;B129))*(I$2:I$501&lt;&gt;""),I$2:I$501),""))</f>
        <v>-0.71967732641889948</v>
      </c>
    </row>
    <row r="130" spans="1:11">
      <c r="A130" t="s">
        <v>128</v>
      </c>
      <c r="B130" s="2">
        <v>46082</v>
      </c>
      <c r="C130" t="s">
        <v>16</v>
      </c>
      <c r="D130" t="s">
        <v>17</v>
      </c>
      <c r="E130" t="s">
        <v>18</v>
      </c>
      <c r="F130" s="3">
        <v>1000</v>
      </c>
      <c r="G130" s="3">
        <v>1020</v>
      </c>
      <c r="H130" s="3">
        <v>979</v>
      </c>
      <c r="I130" s="3">
        <v>1014</v>
      </c>
      <c r="J130" s="3"/>
      <c r="K130" s="7" cm="1">
        <f t="array" ref="K130">IF(OR(C130="",B130="",I130=""),"",IFERROR((I130-_xlfn.XLOOKUP(1,(C$2:C$501=C130)*(B$2:B$501&lt;&gt;"")*(B$2:B$501=_xlfn.MAXIFS(B$2:B$501,C$2:C$501,C130,B$2:B$501,"&lt;"&amp;B130))*(I$2:I$501&lt;&gt;""),I$2:I$501))/_xlfn.XLOOKUP(1,(C$2:C$501=C130)*(B$2:B$501&lt;&gt;"")*(B$2:B$501=_xlfn.MAXIFS(B$2:B$501,C$2:C$501,C130,B$2:B$501,"&lt;"&amp;B130))*(I$2:I$501&lt;&gt;""),I$2:I$501),""))</f>
        <v>-0.7078651685393258</v>
      </c>
    </row>
    <row r="131" spans="1:11">
      <c r="A131" t="s">
        <v>129</v>
      </c>
      <c r="B131" s="2">
        <v>46023</v>
      </c>
      <c r="C131" t="s">
        <v>12</v>
      </c>
      <c r="D131" t="s">
        <v>13</v>
      </c>
      <c r="E131" t="s">
        <v>37</v>
      </c>
      <c r="F131" s="3">
        <v>3500</v>
      </c>
      <c r="G131" s="3">
        <v>3561</v>
      </c>
      <c r="H131" s="3">
        <v>3468</v>
      </c>
      <c r="I131" s="3">
        <v>3470</v>
      </c>
      <c r="J131" s="3">
        <v>250000</v>
      </c>
      <c r="K131" s="7" t="str" cm="1">
        <f t="array" ref="K131">IF(OR(C131="",B131="",I131=""),"",IFERROR((I131-_xlfn.XLOOKUP(1,(C$2:C$501=C131)*(B$2:B$501&lt;&gt;"")*(B$2:B$501=_xlfn.MAXIFS(B$2:B$501,C$2:C$501,C131,B$2:B$501,"&lt;"&amp;B131))*(I$2:I$501&lt;&gt;""),I$2:I$501))/_xlfn.XLOOKUP(1,(C$2:C$501=C131)*(B$2:B$501&lt;&gt;"")*(B$2:B$501=_xlfn.MAXIFS(B$2:B$501,C$2:C$501,C131,B$2:B$501,"&lt;"&amp;B131))*(I$2:I$501&lt;&gt;""),I$2:I$501),""))</f>
        <v/>
      </c>
    </row>
    <row r="132" spans="1:11">
      <c r="A132" t="s">
        <v>130</v>
      </c>
      <c r="B132" s="2">
        <v>46023</v>
      </c>
      <c r="C132" t="s">
        <v>26</v>
      </c>
      <c r="D132" t="s">
        <v>27</v>
      </c>
      <c r="E132" t="s">
        <v>28</v>
      </c>
      <c r="F132" s="3">
        <v>2500</v>
      </c>
      <c r="G132" s="3">
        <v>2599</v>
      </c>
      <c r="H132" s="3">
        <v>2484</v>
      </c>
      <c r="I132" s="3">
        <v>2454</v>
      </c>
      <c r="J132" s="3"/>
      <c r="K132" s="7" t="str" cm="1">
        <f t="array" ref="K132">IF(OR(C132="",B132="",I132=""),"",IFERROR((I132-_xlfn.XLOOKUP(1,(C$2:C$501=C132)*(B$2:B$501&lt;&gt;"")*(B$2:B$501=_xlfn.MAXIFS(B$2:B$501,C$2:C$501,C132,B$2:B$501,"&lt;"&amp;B132))*(I$2:I$501&lt;&gt;""),I$2:I$501))/_xlfn.XLOOKUP(1,(C$2:C$501=C132)*(B$2:B$501&lt;&gt;"")*(B$2:B$501=_xlfn.MAXIFS(B$2:B$501,C$2:C$501,C132,B$2:B$501,"&lt;"&amp;B132))*(I$2:I$501&lt;&gt;""),I$2:I$501),""))</f>
        <v/>
      </c>
    </row>
    <row r="133" spans="1:11">
      <c r="A133" t="s">
        <v>130</v>
      </c>
      <c r="B133" s="2">
        <v>46082</v>
      </c>
      <c r="C133" t="s">
        <v>43</v>
      </c>
      <c r="D133" t="s">
        <v>44</v>
      </c>
      <c r="E133" t="s">
        <v>23</v>
      </c>
      <c r="F133" s="3">
        <v>2500</v>
      </c>
      <c r="G133" s="3">
        <v>2524</v>
      </c>
      <c r="H133" s="3">
        <v>2429</v>
      </c>
      <c r="I133" s="3">
        <v>2543</v>
      </c>
      <c r="J133" s="3">
        <v>100000</v>
      </c>
      <c r="K133" s="7" cm="1">
        <f t="array" ref="K133">IF(OR(C133="",B133="",I133=""),"",IFERROR((I133-_xlfn.XLOOKUP(1,(C$2:C$501=C133)*(B$2:B$501&lt;&gt;"")*(B$2:B$501=_xlfn.MAXIFS(B$2:B$501,C$2:C$501,C133,B$2:B$501,"&lt;"&amp;B133))*(I$2:I$501&lt;&gt;""),I$2:I$501))/_xlfn.XLOOKUP(1,(C$2:C$501=C133)*(B$2:B$501&lt;&gt;"")*(B$2:B$501=_xlfn.MAXIFS(B$2:B$501,C$2:C$501,C133,B$2:B$501,"&lt;"&amp;B133))*(I$2:I$501&lt;&gt;""),I$2:I$501),""))</f>
        <v>1.4451923076923077</v>
      </c>
    </row>
    <row r="134" spans="1:11">
      <c r="A134" t="s">
        <v>131</v>
      </c>
      <c r="B134" s="2">
        <v>46082</v>
      </c>
      <c r="C134" t="s">
        <v>12</v>
      </c>
      <c r="D134" t="s">
        <v>13</v>
      </c>
      <c r="E134" t="s">
        <v>37</v>
      </c>
      <c r="F134" s="3">
        <v>2500</v>
      </c>
      <c r="G134" s="3">
        <v>2542</v>
      </c>
      <c r="H134" s="3">
        <v>2422</v>
      </c>
      <c r="I134" s="3">
        <v>2542</v>
      </c>
      <c r="J134" s="3">
        <v>100000</v>
      </c>
      <c r="K134" s="7" cm="1">
        <f t="array" ref="K134">IF(OR(C134="",B134="",I134=""),"",IFERROR((I134-_xlfn.XLOOKUP(1,(C$2:C$501=C134)*(B$2:B$501&lt;&gt;"")*(B$2:B$501=_xlfn.MAXIFS(B$2:B$501,C$2:C$501,C134,B$2:B$501,"&lt;"&amp;B134))*(I$2:I$501&lt;&gt;""),I$2:I$501))/_xlfn.XLOOKUP(1,(C$2:C$501=C134)*(B$2:B$501&lt;&gt;"")*(B$2:B$501=_xlfn.MAXIFS(B$2:B$501,C$2:C$501,C134,B$2:B$501,"&lt;"&amp;B134))*(I$2:I$501&lt;&gt;""),I$2:I$501),""))</f>
        <v>2.8733306353702956E-2</v>
      </c>
    </row>
    <row r="135" spans="1:11">
      <c r="A135" t="s">
        <v>131</v>
      </c>
      <c r="C135" t="s">
        <v>12</v>
      </c>
      <c r="D135" t="s">
        <v>13</v>
      </c>
      <c r="E135" t="s">
        <v>37</v>
      </c>
      <c r="F135" s="3"/>
      <c r="G135" s="3"/>
      <c r="H135" s="3"/>
      <c r="I135" s="3"/>
      <c r="J135" s="3"/>
      <c r="K135" s="7" t="str" cm="1">
        <f t="array" ref="K135">IF(OR(C135="",B135="",I135=""),"",IFERROR((I135-_xlfn.XLOOKUP(1,(C$2:C$501=C135)*(B$2:B$501&lt;&gt;"")*(B$2:B$501=_xlfn.MAXIFS(B$2:B$501,C$2:C$501,C135,B$2:B$501,"&lt;"&amp;B135))*(I$2:I$501&lt;&gt;""),I$2:I$501))/_xlfn.XLOOKUP(1,(C$2:C$501=C135)*(B$2:B$501&lt;&gt;"")*(B$2:B$501=_xlfn.MAXIFS(B$2:B$501,C$2:C$501,C135,B$2:B$501,"&lt;"&amp;B135))*(I$2:I$501&lt;&gt;""),I$2:I$501),""))</f>
        <v/>
      </c>
    </row>
    <row r="136" spans="1:11">
      <c r="A136" t="s">
        <v>132</v>
      </c>
      <c r="B136" s="2">
        <v>46082</v>
      </c>
      <c r="C136" t="s">
        <v>43</v>
      </c>
      <c r="D136" t="s">
        <v>44</v>
      </c>
      <c r="E136" t="s">
        <v>23</v>
      </c>
      <c r="F136" s="3">
        <v>1000</v>
      </c>
      <c r="G136" s="3">
        <v>1029</v>
      </c>
      <c r="H136" s="3">
        <v>923</v>
      </c>
      <c r="I136" s="3">
        <v>1028</v>
      </c>
      <c r="J136" s="3">
        <v>500000</v>
      </c>
      <c r="K136" s="7" cm="1">
        <f t="array" ref="K136">IF(OR(C136="",B136="",I136=""),"",IFERROR((I136-_xlfn.XLOOKUP(1,(C$2:C$501=C136)*(B$2:B$501&lt;&gt;"")*(B$2:B$501=_xlfn.MAXIFS(B$2:B$501,C$2:C$501,C136,B$2:B$501,"&lt;"&amp;B136))*(I$2:I$501&lt;&gt;""),I$2:I$501))/_xlfn.XLOOKUP(1,(C$2:C$501=C136)*(B$2:B$501&lt;&gt;"")*(B$2:B$501=_xlfn.MAXIFS(B$2:B$501,C$2:C$501,C136,B$2:B$501,"&lt;"&amp;B136))*(I$2:I$501&lt;&gt;""),I$2:I$501),""))</f>
        <v>-1.1538461538461539E-2</v>
      </c>
    </row>
    <row r="137" spans="1:11">
      <c r="A137" t="s">
        <v>133</v>
      </c>
      <c r="B137" s="2">
        <v>46054</v>
      </c>
      <c r="C137" t="s">
        <v>16</v>
      </c>
      <c r="D137" t="s">
        <v>17</v>
      </c>
      <c r="E137" t="s">
        <v>18</v>
      </c>
      <c r="F137" s="3"/>
      <c r="G137" s="3"/>
      <c r="H137" s="3"/>
      <c r="I137" s="3"/>
      <c r="J137" s="3">
        <v>250000</v>
      </c>
      <c r="K137" s="7" t="str" cm="1">
        <f t="array" ref="K137">IF(OR(C137="",B137="",I137=""),"",IFERROR((I137-_xlfn.XLOOKUP(1,(C$2:C$501=C137)*(B$2:B$501&lt;&gt;"")*(B$2:B$501=_xlfn.MAXIFS(B$2:B$501,C$2:C$501,C137,B$2:B$501,"&lt;"&amp;B137))*(I$2:I$501&lt;&gt;""),I$2:I$501))/_xlfn.XLOOKUP(1,(C$2:C$501=C137)*(B$2:B$501&lt;&gt;"")*(B$2:B$501=_xlfn.MAXIFS(B$2:B$501,C$2:C$501,C137,B$2:B$501,"&lt;"&amp;B137))*(I$2:I$501&lt;&gt;""),I$2:I$501),""))</f>
        <v/>
      </c>
    </row>
    <row r="138" spans="1:11">
      <c r="A138" t="s">
        <v>134</v>
      </c>
      <c r="C138" t="s">
        <v>16</v>
      </c>
      <c r="D138" t="s">
        <v>17</v>
      </c>
      <c r="E138" t="s">
        <v>18</v>
      </c>
      <c r="F138" s="3">
        <v>3500</v>
      </c>
      <c r="G138" s="3">
        <v>3585</v>
      </c>
      <c r="H138" s="3">
        <v>3434</v>
      </c>
      <c r="I138" s="3">
        <v>3548</v>
      </c>
      <c r="J138" s="3">
        <v>500000</v>
      </c>
      <c r="K138" s="7" t="str" cm="1">
        <f t="array" ref="K138">IF(OR(C138="",B138="",I138=""),"",IFERROR((I138-_xlfn.XLOOKUP(1,(C$2:C$501=C138)*(B$2:B$501&lt;&gt;"")*(B$2:B$501=_xlfn.MAXIFS(B$2:B$501,C$2:C$501,C138,B$2:B$501,"&lt;"&amp;B138))*(I$2:I$501&lt;&gt;""),I$2:I$501))/_xlfn.XLOOKUP(1,(C$2:C$501=C138)*(B$2:B$501&lt;&gt;"")*(B$2:B$501=_xlfn.MAXIFS(B$2:B$501,C$2:C$501,C138,B$2:B$501,"&lt;"&amp;B138))*(I$2:I$501&lt;&gt;""),I$2:I$501),""))</f>
        <v/>
      </c>
    </row>
    <row r="139" spans="1:11">
      <c r="A139" t="s">
        <v>134</v>
      </c>
      <c r="B139" s="2">
        <v>46082</v>
      </c>
      <c r="C139" t="s">
        <v>26</v>
      </c>
      <c r="D139" t="s">
        <v>27</v>
      </c>
      <c r="E139" t="s">
        <v>28</v>
      </c>
      <c r="F139" s="3">
        <v>2500</v>
      </c>
      <c r="G139" s="3">
        <v>2514</v>
      </c>
      <c r="H139" s="3">
        <v>2423</v>
      </c>
      <c r="I139" s="3">
        <v>2521</v>
      </c>
      <c r="J139" s="3">
        <v>500000</v>
      </c>
      <c r="K139" s="7" cm="1">
        <f t="array" ref="K139">IF(OR(C139="",B139="",I139=""),"",IFERROR((I139-_xlfn.XLOOKUP(1,(C$2:C$501=C139)*(B$2:B$501&lt;&gt;"")*(B$2:B$501=_xlfn.MAXIFS(B$2:B$501,C$2:C$501,C139,B$2:B$501,"&lt;"&amp;B139))*(I$2:I$501&lt;&gt;""),I$2:I$501))/_xlfn.XLOOKUP(1,(C$2:C$501=C139)*(B$2:B$501&lt;&gt;"")*(B$2:B$501=_xlfn.MAXIFS(B$2:B$501,C$2:C$501,C139,B$2:B$501,"&lt;"&amp;B139))*(I$2:I$501&lt;&gt;""),I$2:I$501),""))</f>
        <v>-0.28583569405099152</v>
      </c>
    </row>
    <row r="140" spans="1:11">
      <c r="A140" t="s">
        <v>135</v>
      </c>
      <c r="B140" s="2">
        <v>46054</v>
      </c>
      <c r="C140" t="s">
        <v>43</v>
      </c>
      <c r="D140" t="s">
        <v>44</v>
      </c>
      <c r="E140" t="s">
        <v>23</v>
      </c>
      <c r="F140" s="3">
        <v>3500</v>
      </c>
      <c r="G140" s="3">
        <v>3584</v>
      </c>
      <c r="H140" s="3">
        <v>3467</v>
      </c>
      <c r="I140" s="3">
        <v>3519</v>
      </c>
      <c r="J140" s="3"/>
      <c r="K140" s="7" cm="1">
        <f t="array" ref="K140">IF(OR(C140="",B140="",I140=""),"",IFERROR((I140-_xlfn.XLOOKUP(1,(C$2:C$501=C140)*(B$2:B$501&lt;&gt;"")*(B$2:B$501=_xlfn.MAXIFS(B$2:B$501,C$2:C$501,C140,B$2:B$501,"&lt;"&amp;B140))*(I$2:I$501&lt;&gt;""),I$2:I$501))/_xlfn.XLOOKUP(1,(C$2:C$501=C140)*(B$2:B$501&lt;&gt;"")*(B$2:B$501=_xlfn.MAXIFS(B$2:B$501,C$2:C$501,C140,B$2:B$501,"&lt;"&amp;B140))*(I$2:I$501&lt;&gt;""),I$2:I$501),""))</f>
        <v>0.41609657947686118</v>
      </c>
    </row>
    <row r="141" spans="1:11">
      <c r="A141" t="s">
        <v>136</v>
      </c>
      <c r="C141" t="s">
        <v>12</v>
      </c>
      <c r="D141" t="s">
        <v>13</v>
      </c>
      <c r="E141" t="s">
        <v>37</v>
      </c>
      <c r="F141" s="3">
        <v>2500</v>
      </c>
      <c r="G141" s="3">
        <v>2543</v>
      </c>
      <c r="H141" s="3">
        <v>2462</v>
      </c>
      <c r="I141" s="3">
        <v>2476</v>
      </c>
      <c r="J141" s="3">
        <v>250000</v>
      </c>
      <c r="K141" s="7" t="str" cm="1">
        <f t="array" ref="K141">IF(OR(C141="",B141="",I141=""),"",IFERROR((I141-_xlfn.XLOOKUP(1,(C$2:C$501=C141)*(B$2:B$501&lt;&gt;"")*(B$2:B$501=_xlfn.MAXIFS(B$2:B$501,C$2:C$501,C141,B$2:B$501,"&lt;"&amp;B141))*(I$2:I$501&lt;&gt;""),I$2:I$501))/_xlfn.XLOOKUP(1,(C$2:C$501=C141)*(B$2:B$501&lt;&gt;"")*(B$2:B$501=_xlfn.MAXIFS(B$2:B$501,C$2:C$501,C141,B$2:B$501,"&lt;"&amp;B141))*(I$2:I$501&lt;&gt;""),I$2:I$501),""))</f>
        <v/>
      </c>
    </row>
    <row r="142" spans="1:11">
      <c r="A142" t="s">
        <v>137</v>
      </c>
      <c r="B142" s="2">
        <v>46082</v>
      </c>
      <c r="C142" t="s">
        <v>26</v>
      </c>
      <c r="D142" t="s">
        <v>27</v>
      </c>
      <c r="E142" t="s">
        <v>28</v>
      </c>
      <c r="F142" s="3">
        <v>2500</v>
      </c>
      <c r="G142" s="3">
        <v>2568</v>
      </c>
      <c r="H142" s="3">
        <v>2444</v>
      </c>
      <c r="I142" s="3">
        <v>2527</v>
      </c>
      <c r="J142" s="3"/>
      <c r="K142" s="7" cm="1">
        <f t="array" ref="K142">IF(OR(C142="",B142="",I142=""),"",IFERROR((I142-_xlfn.XLOOKUP(1,(C$2:C$501=C142)*(B$2:B$501&lt;&gt;"")*(B$2:B$501=_xlfn.MAXIFS(B$2:B$501,C$2:C$501,C142,B$2:B$501,"&lt;"&amp;B142))*(I$2:I$501&lt;&gt;""),I$2:I$501))/_xlfn.XLOOKUP(1,(C$2:C$501=C142)*(B$2:B$501&lt;&gt;"")*(B$2:B$501=_xlfn.MAXIFS(B$2:B$501,C$2:C$501,C142,B$2:B$501,"&lt;"&amp;B142))*(I$2:I$501&lt;&gt;""),I$2:I$501),""))</f>
        <v>-0.28413597733711049</v>
      </c>
    </row>
    <row r="143" spans="1:11">
      <c r="A143" t="s">
        <v>138</v>
      </c>
      <c r="C143" t="s">
        <v>22</v>
      </c>
      <c r="D143" t="s">
        <v>22</v>
      </c>
      <c r="E143" t="s">
        <v>23</v>
      </c>
      <c r="F143" s="3">
        <v>3500</v>
      </c>
      <c r="G143" s="3">
        <v>3574</v>
      </c>
      <c r="H143" s="3">
        <v>3421</v>
      </c>
      <c r="I143" s="3">
        <v>3484</v>
      </c>
      <c r="J143" s="3">
        <v>250000</v>
      </c>
      <c r="K143" s="7" t="str" cm="1">
        <f t="array" ref="K143">IF(OR(C143="",B143="",I143=""),"",IFERROR((I143-_xlfn.XLOOKUP(1,(C$2:C$501=C143)*(B$2:B$501&lt;&gt;"")*(B$2:B$501=_xlfn.MAXIFS(B$2:B$501,C$2:C$501,C143,B$2:B$501,"&lt;"&amp;B143))*(I$2:I$501&lt;&gt;""),I$2:I$501))/_xlfn.XLOOKUP(1,(C$2:C$501=C143)*(B$2:B$501&lt;&gt;"")*(B$2:B$501=_xlfn.MAXIFS(B$2:B$501,C$2:C$501,C143,B$2:B$501,"&lt;"&amp;B143))*(I$2:I$501&lt;&gt;""),I$2:I$501),""))</f>
        <v/>
      </c>
    </row>
    <row r="144" spans="1:11">
      <c r="A144" t="s">
        <v>138</v>
      </c>
      <c r="B144" s="2">
        <v>46054</v>
      </c>
      <c r="C144" t="s">
        <v>22</v>
      </c>
      <c r="D144" t="s">
        <v>22</v>
      </c>
      <c r="E144" t="s">
        <v>23</v>
      </c>
      <c r="F144" s="3"/>
      <c r="G144" s="3"/>
      <c r="H144" s="3"/>
      <c r="I144" s="3"/>
      <c r="J144" s="3">
        <v>500000</v>
      </c>
      <c r="K144" s="7" t="str" cm="1">
        <f t="array" ref="K144">IF(OR(C144="",B144="",I144=""),"",IFERROR((I144-_xlfn.XLOOKUP(1,(C$2:C$501=C144)*(B$2:B$501&lt;&gt;"")*(B$2:B$501=_xlfn.MAXIFS(B$2:B$501,C$2:C$501,C144,B$2:B$501,"&lt;"&amp;B144))*(I$2:I$501&lt;&gt;""),I$2:I$501))/_xlfn.XLOOKUP(1,(C$2:C$501=C144)*(B$2:B$501&lt;&gt;"")*(B$2:B$501=_xlfn.MAXIFS(B$2:B$501,C$2:C$501,C144,B$2:B$501,"&lt;"&amp;B144))*(I$2:I$501&lt;&gt;""),I$2:I$501),""))</f>
        <v/>
      </c>
    </row>
    <row r="145" spans="1:11">
      <c r="A145" t="s">
        <v>139</v>
      </c>
      <c r="C145" t="s">
        <v>12</v>
      </c>
      <c r="D145" t="s">
        <v>13</v>
      </c>
      <c r="E145" t="s">
        <v>37</v>
      </c>
      <c r="F145" s="3"/>
      <c r="G145" s="3"/>
      <c r="H145" s="3"/>
      <c r="I145" s="3"/>
      <c r="J145" s="3">
        <v>100000</v>
      </c>
      <c r="K145" s="7" t="str" cm="1">
        <f t="array" ref="K145">IF(OR(C145="",B145="",I145=""),"",IFERROR((I145-_xlfn.XLOOKUP(1,(C$2:C$501=C145)*(B$2:B$501&lt;&gt;"")*(B$2:B$501=_xlfn.MAXIFS(B$2:B$501,C$2:C$501,C145,B$2:B$501,"&lt;"&amp;B145))*(I$2:I$501&lt;&gt;""),I$2:I$501))/_xlfn.XLOOKUP(1,(C$2:C$501=C145)*(B$2:B$501&lt;&gt;"")*(B$2:B$501=_xlfn.MAXIFS(B$2:B$501,C$2:C$501,C145,B$2:B$501,"&lt;"&amp;B145))*(I$2:I$501&lt;&gt;""),I$2:I$501),""))</f>
        <v/>
      </c>
    </row>
    <row r="146" spans="1:11">
      <c r="A146" t="s">
        <v>139</v>
      </c>
      <c r="B146" s="2">
        <v>46082</v>
      </c>
      <c r="C146" t="s">
        <v>12</v>
      </c>
      <c r="D146" t="s">
        <v>13</v>
      </c>
      <c r="E146" t="s">
        <v>37</v>
      </c>
      <c r="F146" s="3">
        <v>2500</v>
      </c>
      <c r="G146" s="3">
        <v>2568</v>
      </c>
      <c r="H146" s="3">
        <v>2459</v>
      </c>
      <c r="I146" s="3">
        <v>2492</v>
      </c>
      <c r="J146" s="3">
        <v>100000</v>
      </c>
      <c r="K146" s="7" cm="1">
        <f t="array" ref="K146">IF(OR(C146="",B146="",I146=""),"",IFERROR((I146-_xlfn.XLOOKUP(1,(C$2:C$501=C146)*(B$2:B$501&lt;&gt;"")*(B$2:B$501=_xlfn.MAXIFS(B$2:B$501,C$2:C$501,C146,B$2:B$501,"&lt;"&amp;B146))*(I$2:I$501&lt;&gt;""),I$2:I$501))/_xlfn.XLOOKUP(1,(C$2:C$501=C146)*(B$2:B$501&lt;&gt;"")*(B$2:B$501=_xlfn.MAXIFS(B$2:B$501,C$2:C$501,C146,B$2:B$501,"&lt;"&amp;B146))*(I$2:I$501&lt;&gt;""),I$2:I$501),""))</f>
        <v>8.4985835694051E-3</v>
      </c>
    </row>
    <row r="147" spans="1:11">
      <c r="A147" t="s">
        <v>140</v>
      </c>
      <c r="B147" s="2">
        <v>46023</v>
      </c>
      <c r="C147" t="s">
        <v>26</v>
      </c>
      <c r="D147" t="s">
        <v>27</v>
      </c>
      <c r="E147" t="s">
        <v>28</v>
      </c>
      <c r="F147" s="3">
        <v>1000</v>
      </c>
      <c r="G147" s="3">
        <v>1093</v>
      </c>
      <c r="H147" s="3">
        <v>920</v>
      </c>
      <c r="I147" s="3">
        <v>1007</v>
      </c>
      <c r="J147" s="3">
        <v>250000</v>
      </c>
      <c r="K147" s="7" t="str" cm="1">
        <f t="array" ref="K147">IF(OR(C147="",B147="",I147=""),"",IFERROR((I147-_xlfn.XLOOKUP(1,(C$2:C$501=C147)*(B$2:B$501&lt;&gt;"")*(B$2:B$501=_xlfn.MAXIFS(B$2:B$501,C$2:C$501,C147,B$2:B$501,"&lt;"&amp;B147))*(I$2:I$501&lt;&gt;""),I$2:I$501))/_xlfn.XLOOKUP(1,(C$2:C$501=C147)*(B$2:B$501&lt;&gt;"")*(B$2:B$501=_xlfn.MAXIFS(B$2:B$501,C$2:C$501,C147,B$2:B$501,"&lt;"&amp;B147))*(I$2:I$501&lt;&gt;""),I$2:I$501),""))</f>
        <v/>
      </c>
    </row>
    <row r="148" spans="1:11">
      <c r="A148" t="s">
        <v>141</v>
      </c>
      <c r="B148" s="2">
        <v>46082</v>
      </c>
      <c r="C148" t="s">
        <v>12</v>
      </c>
      <c r="D148" t="s">
        <v>13</v>
      </c>
      <c r="E148" t="s">
        <v>37</v>
      </c>
      <c r="F148" s="3">
        <v>2500</v>
      </c>
      <c r="G148" s="3">
        <v>2544</v>
      </c>
      <c r="H148" s="3">
        <v>2432</v>
      </c>
      <c r="I148" s="3">
        <v>2469</v>
      </c>
      <c r="J148" s="3"/>
      <c r="K148" s="7" cm="1">
        <f t="array" ref="K148">IF(OR(C148="",B148="",I148=""),"",IFERROR((I148-_xlfn.XLOOKUP(1,(C$2:C$501=C148)*(B$2:B$501&lt;&gt;"")*(B$2:B$501=_xlfn.MAXIFS(B$2:B$501,C$2:C$501,C148,B$2:B$501,"&lt;"&amp;B148))*(I$2:I$501&lt;&gt;""),I$2:I$501))/_xlfn.XLOOKUP(1,(C$2:C$501=C148)*(B$2:B$501&lt;&gt;"")*(B$2:B$501=_xlfn.MAXIFS(B$2:B$501,C$2:C$501,C148,B$2:B$501,"&lt;"&amp;B148))*(I$2:I$501&lt;&gt;""),I$2:I$501),""))</f>
        <v>-8.0938891137191421E-4</v>
      </c>
    </row>
    <row r="149" spans="1:11">
      <c r="A149" t="s">
        <v>142</v>
      </c>
      <c r="B149" s="2">
        <v>46082</v>
      </c>
      <c r="C149" t="s">
        <v>12</v>
      </c>
      <c r="D149" t="s">
        <v>13</v>
      </c>
      <c r="E149" t="s">
        <v>37</v>
      </c>
      <c r="F149" s="3">
        <v>3500</v>
      </c>
      <c r="G149" s="3">
        <v>3519</v>
      </c>
      <c r="H149" s="3">
        <v>3488</v>
      </c>
      <c r="I149" s="3">
        <v>3455</v>
      </c>
      <c r="J149" s="3">
        <v>100000</v>
      </c>
      <c r="K149" s="7" cm="1">
        <f t="array" ref="K149">IF(OR(C149="",B149="",I149=""),"",IFERROR((I149-_xlfn.XLOOKUP(1,(C$2:C$501=C149)*(B$2:B$501&lt;&gt;"")*(B$2:B$501=_xlfn.MAXIFS(B$2:B$501,C$2:C$501,C149,B$2:B$501,"&lt;"&amp;B149))*(I$2:I$501&lt;&gt;""),I$2:I$501))/_xlfn.XLOOKUP(1,(C$2:C$501=C149)*(B$2:B$501&lt;&gt;"")*(B$2:B$501=_xlfn.MAXIFS(B$2:B$501,C$2:C$501,C149,B$2:B$501,"&lt;"&amp;B149))*(I$2:I$501&lt;&gt;""),I$2:I$501),""))</f>
        <v>0.3982193443949818</v>
      </c>
    </row>
    <row r="150" spans="1:11">
      <c r="A150" t="s">
        <v>143</v>
      </c>
      <c r="B150" s="2">
        <v>46082</v>
      </c>
      <c r="C150" t="s">
        <v>22</v>
      </c>
      <c r="D150" t="s">
        <v>22</v>
      </c>
      <c r="E150" t="s">
        <v>23</v>
      </c>
      <c r="F150" s="3"/>
      <c r="G150" s="3"/>
      <c r="H150" s="3"/>
      <c r="I150" s="3"/>
      <c r="J150" s="3">
        <v>250000</v>
      </c>
      <c r="K150" s="7" t="str" cm="1">
        <f t="array" ref="K150">IF(OR(C150="",B150="",I150=""),"",IFERROR((I150-_xlfn.XLOOKUP(1,(C$2:C$501=C150)*(B$2:B$501&lt;&gt;"")*(B$2:B$501=_xlfn.MAXIFS(B$2:B$501,C$2:C$501,C150,B$2:B$501,"&lt;"&amp;B150))*(I$2:I$501&lt;&gt;""),I$2:I$501))/_xlfn.XLOOKUP(1,(C$2:C$501=C150)*(B$2:B$501&lt;&gt;"")*(B$2:B$501=_xlfn.MAXIFS(B$2:B$501,C$2:C$501,C150,B$2:B$501,"&lt;"&amp;B150))*(I$2:I$501&lt;&gt;""),I$2:I$501),""))</f>
        <v/>
      </c>
    </row>
    <row r="151" spans="1:11">
      <c r="A151" t="s">
        <v>144</v>
      </c>
      <c r="B151" s="2">
        <v>46054</v>
      </c>
      <c r="C151" t="s">
        <v>12</v>
      </c>
      <c r="D151" t="s">
        <v>13</v>
      </c>
      <c r="E151" t="s">
        <v>37</v>
      </c>
      <c r="F151" s="3">
        <v>2500</v>
      </c>
      <c r="G151" s="3">
        <v>2570</v>
      </c>
      <c r="H151" s="3">
        <v>2449</v>
      </c>
      <c r="I151" s="3">
        <v>2463</v>
      </c>
      <c r="J151" s="3"/>
      <c r="K151" s="7" cm="1">
        <f t="array" ref="K151">IF(OR(C151="",B151="",I151=""),"",IFERROR((I151-_xlfn.XLOOKUP(1,(C$2:C$501=C151)*(B$2:B$501&lt;&gt;"")*(B$2:B$501=_xlfn.MAXIFS(B$2:B$501,C$2:C$501,C151,B$2:B$501,"&lt;"&amp;B151))*(I$2:I$501&lt;&gt;""),I$2:I$501))/_xlfn.XLOOKUP(1,(C$2:C$501=C151)*(B$2:B$501&lt;&gt;"")*(B$2:B$501=_xlfn.MAXIFS(B$2:B$501,C$2:C$501,C151,B$2:B$501,"&lt;"&amp;B151))*(I$2:I$501&lt;&gt;""),I$2:I$501),""))</f>
        <v>-4.0436716538617065E-3</v>
      </c>
    </row>
    <row r="152" spans="1:11">
      <c r="A152" t="s">
        <v>144</v>
      </c>
      <c r="C152" t="s">
        <v>43</v>
      </c>
      <c r="D152" t="s">
        <v>44</v>
      </c>
      <c r="E152" t="s">
        <v>23</v>
      </c>
      <c r="F152" s="3">
        <v>2500</v>
      </c>
      <c r="G152" s="3">
        <v>2581</v>
      </c>
      <c r="H152" s="3">
        <v>2466</v>
      </c>
      <c r="I152" s="3">
        <v>2502</v>
      </c>
      <c r="J152" s="3">
        <v>250000</v>
      </c>
      <c r="K152" s="7" t="str" cm="1">
        <f t="array" ref="K152">IF(OR(C152="",B152="",I152=""),"",IFERROR((I152-_xlfn.XLOOKUP(1,(C$2:C$501=C152)*(B$2:B$501&lt;&gt;"")*(B$2:B$501=_xlfn.MAXIFS(B$2:B$501,C$2:C$501,C152,B$2:B$501,"&lt;"&amp;B152))*(I$2:I$501&lt;&gt;""),I$2:I$501))/_xlfn.XLOOKUP(1,(C$2:C$501=C152)*(B$2:B$501&lt;&gt;"")*(B$2:B$501=_xlfn.MAXIFS(B$2:B$501,C$2:C$501,C152,B$2:B$501,"&lt;"&amp;B152))*(I$2:I$501&lt;&gt;""),I$2:I$501),""))</f>
        <v/>
      </c>
    </row>
    <row r="153" spans="1:11">
      <c r="A153" t="s">
        <v>145</v>
      </c>
      <c r="B153" s="2">
        <v>46082</v>
      </c>
      <c r="C153" t="s">
        <v>16</v>
      </c>
      <c r="D153" t="s">
        <v>17</v>
      </c>
      <c r="E153" t="s">
        <v>18</v>
      </c>
      <c r="F153" s="3">
        <v>2500</v>
      </c>
      <c r="G153" s="3">
        <v>2567</v>
      </c>
      <c r="H153" s="3">
        <v>2422</v>
      </c>
      <c r="I153" s="3">
        <v>2458</v>
      </c>
      <c r="J153" s="3">
        <v>100000</v>
      </c>
      <c r="K153" s="7" cm="1">
        <f t="array" ref="K153">IF(OR(C153="",B153="",I153=""),"",IFERROR((I153-_xlfn.XLOOKUP(1,(C$2:C$501=C153)*(B$2:B$501&lt;&gt;"")*(B$2:B$501=_xlfn.MAXIFS(B$2:B$501,C$2:C$501,C153,B$2:B$501,"&lt;"&amp;B153))*(I$2:I$501&lt;&gt;""),I$2:I$501))/_xlfn.XLOOKUP(1,(C$2:C$501=C153)*(B$2:B$501&lt;&gt;"")*(B$2:B$501=_xlfn.MAXIFS(B$2:B$501,C$2:C$501,C153,B$2:B$501,"&lt;"&amp;B153))*(I$2:I$501&lt;&gt;""),I$2:I$501),""))</f>
        <v>-0.29184673004897727</v>
      </c>
    </row>
    <row r="154" spans="1:11">
      <c r="A154" t="s">
        <v>145</v>
      </c>
      <c r="B154" s="2">
        <v>46082</v>
      </c>
      <c r="C154" t="s">
        <v>12</v>
      </c>
      <c r="D154" t="s">
        <v>13</v>
      </c>
      <c r="E154" t="s">
        <v>37</v>
      </c>
      <c r="F154" s="3">
        <v>3500</v>
      </c>
      <c r="G154" s="3">
        <v>3542</v>
      </c>
      <c r="H154" s="3">
        <v>3463</v>
      </c>
      <c r="I154" s="3">
        <v>3492</v>
      </c>
      <c r="J154" s="3">
        <v>500000</v>
      </c>
      <c r="K154" s="7" cm="1">
        <f t="array" ref="K154">IF(OR(C154="",B154="",I154=""),"",IFERROR((I154-_xlfn.XLOOKUP(1,(C$2:C$501=C154)*(B$2:B$501&lt;&gt;"")*(B$2:B$501=_xlfn.MAXIFS(B$2:B$501,C$2:C$501,C154,B$2:B$501,"&lt;"&amp;B154))*(I$2:I$501&lt;&gt;""),I$2:I$501))/_xlfn.XLOOKUP(1,(C$2:C$501=C154)*(B$2:B$501&lt;&gt;"")*(B$2:B$501=_xlfn.MAXIFS(B$2:B$501,C$2:C$501,C154,B$2:B$501,"&lt;"&amp;B154))*(I$2:I$501&lt;&gt;""),I$2:I$501),""))</f>
        <v>0.41319303925536222</v>
      </c>
    </row>
    <row r="155" spans="1:11">
      <c r="A155" t="s">
        <v>146</v>
      </c>
      <c r="C155" t="s">
        <v>22</v>
      </c>
      <c r="D155" t="s">
        <v>22</v>
      </c>
      <c r="E155" t="s">
        <v>23</v>
      </c>
      <c r="F155" s="3">
        <v>2500</v>
      </c>
      <c r="G155" s="3">
        <v>2550</v>
      </c>
      <c r="H155" s="3">
        <v>2471</v>
      </c>
      <c r="I155" s="3">
        <v>2507</v>
      </c>
      <c r="J155" s="3">
        <v>500000</v>
      </c>
      <c r="K155" s="7" t="str" cm="1">
        <f t="array" ref="K155">IF(OR(C155="",B155="",I155=""),"",IFERROR((I155-_xlfn.XLOOKUP(1,(C$2:C$501=C155)*(B$2:B$501&lt;&gt;"")*(B$2:B$501=_xlfn.MAXIFS(B$2:B$501,C$2:C$501,C155,B$2:B$501,"&lt;"&amp;B155))*(I$2:I$501&lt;&gt;""),I$2:I$501))/_xlfn.XLOOKUP(1,(C$2:C$501=C155)*(B$2:B$501&lt;&gt;"")*(B$2:B$501=_xlfn.MAXIFS(B$2:B$501,C$2:C$501,C155,B$2:B$501,"&lt;"&amp;B155))*(I$2:I$501&lt;&gt;""),I$2:I$501),""))</f>
        <v/>
      </c>
    </row>
    <row r="156" spans="1:11">
      <c r="A156" t="s">
        <v>146</v>
      </c>
      <c r="B156" s="2">
        <v>46082</v>
      </c>
      <c r="C156" t="s">
        <v>26</v>
      </c>
      <c r="D156" t="s">
        <v>27</v>
      </c>
      <c r="E156" t="s">
        <v>28</v>
      </c>
      <c r="F156" s="3">
        <v>1000</v>
      </c>
      <c r="G156" s="3">
        <v>1048</v>
      </c>
      <c r="H156" s="3">
        <v>958</v>
      </c>
      <c r="I156" s="3">
        <v>1006</v>
      </c>
      <c r="J156" s="3"/>
      <c r="K156" s="7" cm="1">
        <f t="array" ref="K156">IF(OR(C156="",B156="",I156=""),"",IFERROR((I156-_xlfn.XLOOKUP(1,(C$2:C$501=C156)*(B$2:B$501&lt;&gt;"")*(B$2:B$501=_xlfn.MAXIFS(B$2:B$501,C$2:C$501,C156,B$2:B$501,"&lt;"&amp;B156))*(I$2:I$501&lt;&gt;""),I$2:I$501))/_xlfn.XLOOKUP(1,(C$2:C$501=C156)*(B$2:B$501&lt;&gt;"")*(B$2:B$501=_xlfn.MAXIFS(B$2:B$501,C$2:C$501,C156,B$2:B$501,"&lt;"&amp;B156))*(I$2:I$501&lt;&gt;""),I$2:I$501),""))</f>
        <v>-0.715014164305949</v>
      </c>
    </row>
    <row r="157" spans="1:11">
      <c r="A157" t="s">
        <v>147</v>
      </c>
      <c r="C157" t="s">
        <v>16</v>
      </c>
      <c r="D157" t="s">
        <v>17</v>
      </c>
      <c r="E157" t="s">
        <v>18</v>
      </c>
      <c r="F157" s="3"/>
      <c r="G157" s="3"/>
      <c r="H157" s="3"/>
      <c r="I157" s="3"/>
      <c r="J157" s="3">
        <v>100000</v>
      </c>
      <c r="K157" s="7" t="str" cm="1">
        <f t="array" ref="K157">IF(OR(C157="",B157="",I157=""),"",IFERROR((I157-_xlfn.XLOOKUP(1,(C$2:C$501=C157)*(B$2:B$501&lt;&gt;"")*(B$2:B$501=_xlfn.MAXIFS(B$2:B$501,C$2:C$501,C157,B$2:B$501,"&lt;"&amp;B157))*(I$2:I$501&lt;&gt;""),I$2:I$501))/_xlfn.XLOOKUP(1,(C$2:C$501=C157)*(B$2:B$501&lt;&gt;"")*(B$2:B$501=_xlfn.MAXIFS(B$2:B$501,C$2:C$501,C157,B$2:B$501,"&lt;"&amp;B157))*(I$2:I$501&lt;&gt;""),I$2:I$501),""))</f>
        <v/>
      </c>
    </row>
    <row r="158" spans="1:11">
      <c r="A158" t="s">
        <v>148</v>
      </c>
      <c r="B158" s="2">
        <v>46023</v>
      </c>
      <c r="C158" t="s">
        <v>12</v>
      </c>
      <c r="D158" t="s">
        <v>13</v>
      </c>
      <c r="E158" t="s">
        <v>37</v>
      </c>
      <c r="F158" s="3"/>
      <c r="G158" s="3"/>
      <c r="H158" s="3"/>
      <c r="I158" s="3"/>
      <c r="J158" s="3">
        <v>100000</v>
      </c>
      <c r="K158" s="7" t="str" cm="1">
        <f t="array" ref="K158">IF(OR(C158="",B158="",I158=""),"",IFERROR((I158-_xlfn.XLOOKUP(1,(C$2:C$501=C158)*(B$2:B$501&lt;&gt;"")*(B$2:B$501=_xlfn.MAXIFS(B$2:B$501,C$2:C$501,C158,B$2:B$501,"&lt;"&amp;B158))*(I$2:I$501&lt;&gt;""),I$2:I$501))/_xlfn.XLOOKUP(1,(C$2:C$501=C158)*(B$2:B$501&lt;&gt;"")*(B$2:B$501=_xlfn.MAXIFS(B$2:B$501,C$2:C$501,C158,B$2:B$501,"&lt;"&amp;B158))*(I$2:I$501&lt;&gt;""),I$2:I$501),""))</f>
        <v/>
      </c>
    </row>
    <row r="159" spans="1:11">
      <c r="A159" t="s">
        <v>149</v>
      </c>
      <c r="B159" s="2">
        <v>46054</v>
      </c>
      <c r="C159" t="s">
        <v>16</v>
      </c>
      <c r="D159" t="s">
        <v>17</v>
      </c>
      <c r="E159" t="s">
        <v>18</v>
      </c>
      <c r="F159" s="3"/>
      <c r="G159" s="3"/>
      <c r="H159" s="3"/>
      <c r="I159" s="3"/>
      <c r="J159" s="3">
        <v>500000</v>
      </c>
      <c r="K159" s="7" t="str" cm="1">
        <f t="array" ref="K159">IF(OR(C159="",B159="",I159=""),"",IFERROR((I159-_xlfn.XLOOKUP(1,(C$2:C$501=C159)*(B$2:B$501&lt;&gt;"")*(B$2:B$501=_xlfn.MAXIFS(B$2:B$501,C$2:C$501,C159,B$2:B$501,"&lt;"&amp;B159))*(I$2:I$501&lt;&gt;""),I$2:I$501))/_xlfn.XLOOKUP(1,(C$2:C$501=C159)*(B$2:B$501&lt;&gt;"")*(B$2:B$501=_xlfn.MAXIFS(B$2:B$501,C$2:C$501,C159,B$2:B$501,"&lt;"&amp;B159))*(I$2:I$501&lt;&gt;""),I$2:I$501),""))</f>
        <v/>
      </c>
    </row>
    <row r="160" spans="1:11">
      <c r="A160" t="s">
        <v>149</v>
      </c>
      <c r="B160" s="2">
        <v>46082</v>
      </c>
      <c r="C160" t="s">
        <v>26</v>
      </c>
      <c r="D160" t="s">
        <v>27</v>
      </c>
      <c r="E160" t="s">
        <v>28</v>
      </c>
      <c r="F160" s="3">
        <v>3500</v>
      </c>
      <c r="G160" s="3">
        <v>3565</v>
      </c>
      <c r="H160" s="3">
        <v>3448</v>
      </c>
      <c r="I160" s="3">
        <v>3461</v>
      </c>
      <c r="J160" s="3">
        <v>100000</v>
      </c>
      <c r="K160" s="7" cm="1">
        <f t="array" ref="K160">IF(OR(C160="",B160="",I160=""),"",IFERROR((I160-_xlfn.XLOOKUP(1,(C$2:C$501=C160)*(B$2:B$501&lt;&gt;"")*(B$2:B$501=_xlfn.MAXIFS(B$2:B$501,C$2:C$501,C160,B$2:B$501,"&lt;"&amp;B160))*(I$2:I$501&lt;&gt;""),I$2:I$501))/_xlfn.XLOOKUP(1,(C$2:C$501=C160)*(B$2:B$501&lt;&gt;"")*(B$2:B$501=_xlfn.MAXIFS(B$2:B$501,C$2:C$501,C160,B$2:B$501,"&lt;"&amp;B160))*(I$2:I$501&lt;&gt;""),I$2:I$501),""))</f>
        <v>-1.9546742209631728E-2</v>
      </c>
    </row>
    <row r="161" spans="1:11">
      <c r="A161" t="s">
        <v>150</v>
      </c>
      <c r="B161" s="2">
        <v>46054</v>
      </c>
      <c r="C161" t="s">
        <v>22</v>
      </c>
      <c r="D161" t="s">
        <v>22</v>
      </c>
      <c r="E161" t="s">
        <v>23</v>
      </c>
      <c r="F161" s="3"/>
      <c r="G161" s="3"/>
      <c r="H161" s="3"/>
      <c r="I161" s="3"/>
      <c r="J161" s="3"/>
      <c r="K161" s="7" t="str" cm="1">
        <f t="array" ref="K161">IF(OR(C161="",B161="",I161=""),"",IFERROR((I161-_xlfn.XLOOKUP(1,(C$2:C$501=C161)*(B$2:B$501&lt;&gt;"")*(B$2:B$501=_xlfn.MAXIFS(B$2:B$501,C$2:C$501,C161,B$2:B$501,"&lt;"&amp;B161))*(I$2:I$501&lt;&gt;""),I$2:I$501))/_xlfn.XLOOKUP(1,(C$2:C$501=C161)*(B$2:B$501&lt;&gt;"")*(B$2:B$501=_xlfn.MAXIFS(B$2:B$501,C$2:C$501,C161,B$2:B$501,"&lt;"&amp;B161))*(I$2:I$501&lt;&gt;""),I$2:I$501),""))</f>
        <v/>
      </c>
    </row>
    <row r="162" spans="1:11">
      <c r="A162" t="s">
        <v>150</v>
      </c>
      <c r="B162" s="2">
        <v>46023</v>
      </c>
      <c r="C162" t="s">
        <v>16</v>
      </c>
      <c r="D162" t="s">
        <v>17</v>
      </c>
      <c r="E162" t="s">
        <v>18</v>
      </c>
      <c r="F162" s="3">
        <v>3500</v>
      </c>
      <c r="G162" s="3">
        <v>3532</v>
      </c>
      <c r="H162" s="3">
        <v>3465</v>
      </c>
      <c r="I162" s="3">
        <v>3482</v>
      </c>
      <c r="J162" s="3">
        <v>250000</v>
      </c>
      <c r="K162" s="7" t="str" cm="1">
        <f t="array" ref="K162">IF(OR(C162="",B162="",I162=""),"",IFERROR((I162-_xlfn.XLOOKUP(1,(C$2:C$501=C162)*(B$2:B$501&lt;&gt;"")*(B$2:B$501=_xlfn.MAXIFS(B$2:B$501,C$2:C$501,C162,B$2:B$501,"&lt;"&amp;B162))*(I$2:I$501&lt;&gt;""),I$2:I$501))/_xlfn.XLOOKUP(1,(C$2:C$501=C162)*(B$2:B$501&lt;&gt;"")*(B$2:B$501=_xlfn.MAXIFS(B$2:B$501,C$2:C$501,C162,B$2:B$501,"&lt;"&amp;B162))*(I$2:I$501&lt;&gt;""),I$2:I$501),""))</f>
        <v/>
      </c>
    </row>
    <row r="163" spans="1:11">
      <c r="A163" t="s">
        <v>151</v>
      </c>
      <c r="C163" t="s">
        <v>22</v>
      </c>
      <c r="D163" t="s">
        <v>22</v>
      </c>
      <c r="E163" t="s">
        <v>23</v>
      </c>
      <c r="F163" s="3">
        <v>2500</v>
      </c>
      <c r="G163" s="3">
        <v>2519</v>
      </c>
      <c r="H163" s="3">
        <v>2450</v>
      </c>
      <c r="I163" s="3">
        <v>2488</v>
      </c>
      <c r="J163" s="3"/>
      <c r="K163" s="7" t="str" cm="1">
        <f t="array" ref="K163">IF(OR(C163="",B163="",I163=""),"",IFERROR((I163-_xlfn.XLOOKUP(1,(C$2:C$501=C163)*(B$2:B$501&lt;&gt;"")*(B$2:B$501=_xlfn.MAXIFS(B$2:B$501,C$2:C$501,C163,B$2:B$501,"&lt;"&amp;B163))*(I$2:I$501&lt;&gt;""),I$2:I$501))/_xlfn.XLOOKUP(1,(C$2:C$501=C163)*(B$2:B$501&lt;&gt;"")*(B$2:B$501=_xlfn.MAXIFS(B$2:B$501,C$2:C$501,C163,B$2:B$501,"&lt;"&amp;B163))*(I$2:I$501&lt;&gt;""),I$2:I$501),""))</f>
        <v/>
      </c>
    </row>
    <row r="164" spans="1:11">
      <c r="A164" t="s">
        <v>152</v>
      </c>
      <c r="B164" s="2">
        <v>46023</v>
      </c>
      <c r="C164" t="s">
        <v>22</v>
      </c>
      <c r="D164" t="s">
        <v>22</v>
      </c>
      <c r="E164" t="s">
        <v>23</v>
      </c>
      <c r="F164" s="3">
        <v>3500</v>
      </c>
      <c r="G164" s="3">
        <v>3517</v>
      </c>
      <c r="H164" s="3">
        <v>3479</v>
      </c>
      <c r="I164" s="3">
        <v>3514</v>
      </c>
      <c r="J164" s="3">
        <v>250000</v>
      </c>
      <c r="K164" s="7" t="str" cm="1">
        <f t="array" ref="K164">IF(OR(C164="",B164="",I164=""),"",IFERROR((I164-_xlfn.XLOOKUP(1,(C$2:C$501=C164)*(B$2:B$501&lt;&gt;"")*(B$2:B$501=_xlfn.MAXIFS(B$2:B$501,C$2:C$501,C164,B$2:B$501,"&lt;"&amp;B164))*(I$2:I$501&lt;&gt;""),I$2:I$501))/_xlfn.XLOOKUP(1,(C$2:C$501=C164)*(B$2:B$501&lt;&gt;"")*(B$2:B$501=_xlfn.MAXIFS(B$2:B$501,C$2:C$501,C164,B$2:B$501,"&lt;"&amp;B164))*(I$2:I$501&lt;&gt;""),I$2:I$501),""))</f>
        <v/>
      </c>
    </row>
    <row r="165" spans="1:11">
      <c r="A165" t="s">
        <v>152</v>
      </c>
      <c r="B165" s="2">
        <v>46054</v>
      </c>
      <c r="C165" t="s">
        <v>26</v>
      </c>
      <c r="D165" t="s">
        <v>27</v>
      </c>
      <c r="E165" t="s">
        <v>28</v>
      </c>
      <c r="F165" s="3">
        <v>3500</v>
      </c>
      <c r="G165" s="3">
        <v>3564</v>
      </c>
      <c r="H165" s="3">
        <v>3486</v>
      </c>
      <c r="I165" s="3">
        <v>3534</v>
      </c>
      <c r="J165" s="3"/>
      <c r="K165" s="7" cm="1">
        <f t="array" ref="K165">IF(OR(C165="",B165="",I165=""),"",IFERROR((I165-_xlfn.XLOOKUP(1,(C$2:C$501=C165)*(B$2:B$501&lt;&gt;"")*(B$2:B$501=_xlfn.MAXIFS(B$2:B$501,C$2:C$501,C165,B$2:B$501,"&lt;"&amp;B165))*(I$2:I$501&lt;&gt;""),I$2:I$501))/_xlfn.XLOOKUP(1,(C$2:C$501=C165)*(B$2:B$501&lt;&gt;"")*(B$2:B$501=_xlfn.MAXIFS(B$2:B$501,C$2:C$501,C165,B$2:B$501,"&lt;"&amp;B165))*(I$2:I$501&lt;&gt;""),I$2:I$501),""))</f>
        <v>0.39739027283511269</v>
      </c>
    </row>
    <row r="166" spans="1:11">
      <c r="A166" t="s">
        <v>153</v>
      </c>
      <c r="B166" s="2">
        <v>46054</v>
      </c>
      <c r="C166" t="s">
        <v>22</v>
      </c>
      <c r="D166" t="s">
        <v>22</v>
      </c>
      <c r="E166" t="s">
        <v>23</v>
      </c>
      <c r="F166" s="3">
        <v>2500</v>
      </c>
      <c r="G166" s="3">
        <v>2544</v>
      </c>
      <c r="H166" s="3">
        <v>2433</v>
      </c>
      <c r="I166" s="3">
        <v>2469</v>
      </c>
      <c r="J166" s="3">
        <v>250000</v>
      </c>
      <c r="K166" s="7" cm="1">
        <f t="array" ref="K166">IF(OR(C166="",B166="",I166=""),"",IFERROR((I166-_xlfn.XLOOKUP(1,(C$2:C$501=C166)*(B$2:B$501&lt;&gt;"")*(B$2:B$501=_xlfn.MAXIFS(B$2:B$501,C$2:C$501,C166,B$2:B$501,"&lt;"&amp;B166))*(I$2:I$501&lt;&gt;""),I$2:I$501))/_xlfn.XLOOKUP(1,(C$2:C$501=C166)*(B$2:B$501&lt;&gt;"")*(B$2:B$501=_xlfn.MAXIFS(B$2:B$501,C$2:C$501,C166,B$2:B$501,"&lt;"&amp;B166))*(I$2:I$501&lt;&gt;""),I$2:I$501),""))</f>
        <v>1.5219611848825332</v>
      </c>
    </row>
    <row r="167" spans="1:11">
      <c r="A167" t="s">
        <v>153</v>
      </c>
      <c r="B167" s="2">
        <v>46054</v>
      </c>
      <c r="C167" t="s">
        <v>12</v>
      </c>
      <c r="D167" t="s">
        <v>13</v>
      </c>
      <c r="E167" t="s">
        <v>37</v>
      </c>
      <c r="F167" s="3">
        <v>3500</v>
      </c>
      <c r="G167" s="3">
        <v>3524</v>
      </c>
      <c r="H167" s="3">
        <v>3490</v>
      </c>
      <c r="I167" s="3">
        <v>3524</v>
      </c>
      <c r="J167" s="3">
        <v>500000</v>
      </c>
      <c r="K167" s="7" cm="1">
        <f t="array" ref="K167">IF(OR(C167="",B167="",I167=""),"",IFERROR((I167-_xlfn.XLOOKUP(1,(C$2:C$501=C167)*(B$2:B$501&lt;&gt;"")*(B$2:B$501=_xlfn.MAXIFS(B$2:B$501,C$2:C$501,C167,B$2:B$501,"&lt;"&amp;B167))*(I$2:I$501&lt;&gt;""),I$2:I$501))/_xlfn.XLOOKUP(1,(C$2:C$501=C167)*(B$2:B$501&lt;&gt;"")*(B$2:B$501=_xlfn.MAXIFS(B$2:B$501,C$2:C$501,C167,B$2:B$501,"&lt;"&amp;B167))*(I$2:I$501&lt;&gt;""),I$2:I$501),""))</f>
        <v>0.42498989082086536</v>
      </c>
    </row>
    <row r="168" spans="1:11">
      <c r="A168" t="s">
        <v>154</v>
      </c>
      <c r="B168" s="2">
        <v>46023</v>
      </c>
      <c r="C168" t="s">
        <v>12</v>
      </c>
      <c r="D168" t="s">
        <v>13</v>
      </c>
      <c r="E168" t="s">
        <v>37</v>
      </c>
      <c r="F168" s="3"/>
      <c r="G168" s="3"/>
      <c r="H168" s="3"/>
      <c r="I168" s="3"/>
      <c r="J168" s="3"/>
      <c r="K168" s="7" t="str" cm="1">
        <f t="array" ref="K168">IF(OR(C168="",B168="",I168=""),"",IFERROR((I168-_xlfn.XLOOKUP(1,(C$2:C$501=C168)*(B$2:B$501&lt;&gt;"")*(B$2:B$501=_xlfn.MAXIFS(B$2:B$501,C$2:C$501,C168,B$2:B$501,"&lt;"&amp;B168))*(I$2:I$501&lt;&gt;""),I$2:I$501))/_xlfn.XLOOKUP(1,(C$2:C$501=C168)*(B$2:B$501&lt;&gt;"")*(B$2:B$501=_xlfn.MAXIFS(B$2:B$501,C$2:C$501,C168,B$2:B$501,"&lt;"&amp;B168))*(I$2:I$501&lt;&gt;""),I$2:I$501),""))</f>
        <v/>
      </c>
    </row>
    <row r="169" spans="1:11">
      <c r="A169" t="s">
        <v>155</v>
      </c>
      <c r="B169" s="2">
        <v>46082</v>
      </c>
      <c r="C169" t="s">
        <v>26</v>
      </c>
      <c r="D169" t="s">
        <v>27</v>
      </c>
      <c r="E169" t="s">
        <v>28</v>
      </c>
      <c r="F169" s="3">
        <v>1000</v>
      </c>
      <c r="G169" s="3">
        <v>1017</v>
      </c>
      <c r="H169" s="3">
        <v>967</v>
      </c>
      <c r="I169" s="3">
        <v>1022</v>
      </c>
      <c r="J169" s="3"/>
      <c r="K169" s="7" cm="1">
        <f t="array" ref="K169">IF(OR(C169="",B169="",I169=""),"",IFERROR((I169-_xlfn.XLOOKUP(1,(C$2:C$501=C169)*(B$2:B$501&lt;&gt;"")*(B$2:B$501=_xlfn.MAXIFS(B$2:B$501,C$2:C$501,C169,B$2:B$501,"&lt;"&amp;B169))*(I$2:I$501&lt;&gt;""),I$2:I$501))/_xlfn.XLOOKUP(1,(C$2:C$501=C169)*(B$2:B$501&lt;&gt;"")*(B$2:B$501=_xlfn.MAXIFS(B$2:B$501,C$2:C$501,C169,B$2:B$501,"&lt;"&amp;B169))*(I$2:I$501&lt;&gt;""),I$2:I$501),""))</f>
        <v>-0.71048158640226633</v>
      </c>
    </row>
    <row r="170" spans="1:11">
      <c r="A170" t="s">
        <v>156</v>
      </c>
      <c r="C170" t="s">
        <v>22</v>
      </c>
      <c r="D170" t="s">
        <v>22</v>
      </c>
      <c r="E170" t="s">
        <v>23</v>
      </c>
      <c r="F170" s="3"/>
      <c r="G170" s="3"/>
      <c r="H170" s="3"/>
      <c r="I170" s="3"/>
      <c r="J170" s="3">
        <v>100000</v>
      </c>
      <c r="K170" s="7" t="str" cm="1">
        <f t="array" ref="K170">IF(OR(C170="",B170="",I170=""),"",IFERROR((I170-_xlfn.XLOOKUP(1,(C$2:C$501=C170)*(B$2:B$501&lt;&gt;"")*(B$2:B$501=_xlfn.MAXIFS(B$2:B$501,C$2:C$501,C170,B$2:B$501,"&lt;"&amp;B170))*(I$2:I$501&lt;&gt;""),I$2:I$501))/_xlfn.XLOOKUP(1,(C$2:C$501=C170)*(B$2:B$501&lt;&gt;"")*(B$2:B$501=_xlfn.MAXIFS(B$2:B$501,C$2:C$501,C170,B$2:B$501,"&lt;"&amp;B170))*(I$2:I$501&lt;&gt;""),I$2:I$501),""))</f>
        <v/>
      </c>
    </row>
    <row r="171" spans="1:11">
      <c r="A171" t="s">
        <v>157</v>
      </c>
      <c r="B171" s="2">
        <v>46054</v>
      </c>
      <c r="C171" t="s">
        <v>26</v>
      </c>
      <c r="D171" t="s">
        <v>27</v>
      </c>
      <c r="E171" t="s">
        <v>28</v>
      </c>
      <c r="F171" s="3">
        <v>3500</v>
      </c>
      <c r="G171" s="3">
        <v>3586</v>
      </c>
      <c r="H171" s="3">
        <v>3484</v>
      </c>
      <c r="I171" s="3">
        <v>3479</v>
      </c>
      <c r="J171" s="3">
        <v>500000</v>
      </c>
      <c r="K171" s="7" cm="1">
        <f t="array" ref="K171">IF(OR(C171="",B171="",I171=""),"",IFERROR((I171-_xlfn.XLOOKUP(1,(C$2:C$501=C171)*(B$2:B$501&lt;&gt;"")*(B$2:B$501=_xlfn.MAXIFS(B$2:B$501,C$2:C$501,C171,B$2:B$501,"&lt;"&amp;B171))*(I$2:I$501&lt;&gt;""),I$2:I$501))/_xlfn.XLOOKUP(1,(C$2:C$501=C171)*(B$2:B$501&lt;&gt;"")*(B$2:B$501=_xlfn.MAXIFS(B$2:B$501,C$2:C$501,C171,B$2:B$501,"&lt;"&amp;B171))*(I$2:I$501&lt;&gt;""),I$2:I$501),""))</f>
        <v>0.37564254646105177</v>
      </c>
    </row>
    <row r="172" spans="1:11">
      <c r="A172" t="s">
        <v>158</v>
      </c>
      <c r="B172" s="2">
        <v>46054</v>
      </c>
      <c r="C172" t="s">
        <v>43</v>
      </c>
      <c r="D172" t="s">
        <v>44</v>
      </c>
      <c r="E172" t="s">
        <v>23</v>
      </c>
      <c r="F172" s="3">
        <v>1000</v>
      </c>
      <c r="G172" s="3">
        <v>1094</v>
      </c>
      <c r="H172" s="3">
        <v>971</v>
      </c>
      <c r="I172" s="3">
        <v>985</v>
      </c>
      <c r="J172" s="3"/>
      <c r="K172" s="7" cm="1">
        <f t="array" ref="K172">IF(OR(C172="",B172="",I172=""),"",IFERROR((I172-_xlfn.XLOOKUP(1,(C$2:C$501=C172)*(B$2:B$501&lt;&gt;"")*(B$2:B$501=_xlfn.MAXIFS(B$2:B$501,C$2:C$501,C172,B$2:B$501,"&lt;"&amp;B172))*(I$2:I$501&lt;&gt;""),I$2:I$501))/_xlfn.XLOOKUP(1,(C$2:C$501=C172)*(B$2:B$501&lt;&gt;"")*(B$2:B$501=_xlfn.MAXIFS(B$2:B$501,C$2:C$501,C172,B$2:B$501,"&lt;"&amp;B172))*(I$2:I$501&lt;&gt;""),I$2:I$501),""))</f>
        <v>-0.60362173038229372</v>
      </c>
    </row>
    <row r="173" spans="1:11">
      <c r="A173" t="s">
        <v>158</v>
      </c>
      <c r="C173" t="s">
        <v>22</v>
      </c>
      <c r="D173" t="s">
        <v>22</v>
      </c>
      <c r="E173" t="s">
        <v>23</v>
      </c>
      <c r="F173" s="3">
        <v>1000</v>
      </c>
      <c r="G173" s="3">
        <v>1100</v>
      </c>
      <c r="H173" s="3">
        <v>943</v>
      </c>
      <c r="I173" s="3">
        <v>985</v>
      </c>
      <c r="J173" s="3">
        <v>500000</v>
      </c>
      <c r="K173" s="7" t="str" cm="1">
        <f t="array" ref="K173">IF(OR(C173="",B173="",I173=""),"",IFERROR((I173-_xlfn.XLOOKUP(1,(C$2:C$501=C173)*(B$2:B$501&lt;&gt;"")*(B$2:B$501=_xlfn.MAXIFS(B$2:B$501,C$2:C$501,C173,B$2:B$501,"&lt;"&amp;B173))*(I$2:I$501&lt;&gt;""),I$2:I$501))/_xlfn.XLOOKUP(1,(C$2:C$501=C173)*(B$2:B$501&lt;&gt;"")*(B$2:B$501=_xlfn.MAXIFS(B$2:B$501,C$2:C$501,C173,B$2:B$501,"&lt;"&amp;B173))*(I$2:I$501&lt;&gt;""),I$2:I$501),""))</f>
        <v/>
      </c>
    </row>
    <row r="174" spans="1:11">
      <c r="A174" t="s">
        <v>159</v>
      </c>
      <c r="B174" s="2">
        <v>46054</v>
      </c>
      <c r="C174" t="s">
        <v>16</v>
      </c>
      <c r="D174" t="s">
        <v>17</v>
      </c>
      <c r="E174" t="s">
        <v>18</v>
      </c>
      <c r="F174" s="3"/>
      <c r="G174" s="3"/>
      <c r="H174" s="3"/>
      <c r="I174" s="3"/>
      <c r="J174" s="3">
        <v>100000</v>
      </c>
      <c r="K174" s="7" t="str" cm="1">
        <f t="array" ref="K174">IF(OR(C174="",B174="",I174=""),"",IFERROR((I174-_xlfn.XLOOKUP(1,(C$2:C$501=C174)*(B$2:B$501&lt;&gt;"")*(B$2:B$501=_xlfn.MAXIFS(B$2:B$501,C$2:C$501,C174,B$2:B$501,"&lt;"&amp;B174))*(I$2:I$501&lt;&gt;""),I$2:I$501))/_xlfn.XLOOKUP(1,(C$2:C$501=C174)*(B$2:B$501&lt;&gt;"")*(B$2:B$501=_xlfn.MAXIFS(B$2:B$501,C$2:C$501,C174,B$2:B$501,"&lt;"&amp;B174))*(I$2:I$501&lt;&gt;""),I$2:I$501),""))</f>
        <v/>
      </c>
    </row>
    <row r="175" spans="1:11">
      <c r="A175" t="s">
        <v>160</v>
      </c>
      <c r="B175" s="2">
        <v>46054</v>
      </c>
      <c r="C175" t="s">
        <v>26</v>
      </c>
      <c r="D175" t="s">
        <v>27</v>
      </c>
      <c r="E175" t="s">
        <v>28</v>
      </c>
      <c r="F175" s="3">
        <v>2500</v>
      </c>
      <c r="G175" s="3">
        <v>2523</v>
      </c>
      <c r="H175" s="3">
        <v>2464</v>
      </c>
      <c r="I175" s="3">
        <v>2472</v>
      </c>
      <c r="J175" s="3">
        <v>500000</v>
      </c>
      <c r="K175" s="7" cm="1">
        <f t="array" ref="K175">IF(OR(C175="",B175="",I175=""),"",IFERROR((I175-_xlfn.XLOOKUP(1,(C$2:C$501=C175)*(B$2:B$501&lt;&gt;"")*(B$2:B$501=_xlfn.MAXIFS(B$2:B$501,C$2:C$501,C175,B$2:B$501,"&lt;"&amp;B175))*(I$2:I$501&lt;&gt;""),I$2:I$501))/_xlfn.XLOOKUP(1,(C$2:C$501=C175)*(B$2:B$501&lt;&gt;"")*(B$2:B$501=_xlfn.MAXIFS(B$2:B$501,C$2:C$501,C175,B$2:B$501,"&lt;"&amp;B175))*(I$2:I$501&lt;&gt;""),I$2:I$501),""))</f>
        <v>-2.2538552787663108E-2</v>
      </c>
    </row>
    <row r="176" spans="1:11">
      <c r="A176" t="s">
        <v>161</v>
      </c>
      <c r="B176" s="2">
        <v>46054</v>
      </c>
      <c r="C176" t="s">
        <v>22</v>
      </c>
      <c r="D176" t="s">
        <v>22</v>
      </c>
      <c r="E176" t="s">
        <v>23</v>
      </c>
      <c r="F176" s="3">
        <v>3500</v>
      </c>
      <c r="G176" s="3">
        <v>3560</v>
      </c>
      <c r="H176" s="3">
        <v>3443</v>
      </c>
      <c r="I176" s="3">
        <v>3538</v>
      </c>
      <c r="J176" s="3">
        <v>250000</v>
      </c>
      <c r="K176" s="7" cm="1">
        <f t="array" ref="K176">IF(OR(C176="",B176="",I176=""),"",IFERROR((I176-_xlfn.XLOOKUP(1,(C$2:C$501=C176)*(B$2:B$501&lt;&gt;"")*(B$2:B$501=_xlfn.MAXIFS(B$2:B$501,C$2:C$501,C176,B$2:B$501,"&lt;"&amp;B176))*(I$2:I$501&lt;&gt;""),I$2:I$501))/_xlfn.XLOOKUP(1,(C$2:C$501=C176)*(B$2:B$501&lt;&gt;"")*(B$2:B$501=_xlfn.MAXIFS(B$2:B$501,C$2:C$501,C176,B$2:B$501,"&lt;"&amp;B176))*(I$2:I$501&lt;&gt;""),I$2:I$501),""))</f>
        <v>2.6138917262512766</v>
      </c>
    </row>
    <row r="177" spans="1:11">
      <c r="A177" t="s">
        <v>162</v>
      </c>
      <c r="C177" t="s">
        <v>43</v>
      </c>
      <c r="D177" t="s">
        <v>44</v>
      </c>
      <c r="E177" t="s">
        <v>23</v>
      </c>
      <c r="F177" s="3"/>
      <c r="G177" s="3"/>
      <c r="H177" s="3"/>
      <c r="I177" s="3"/>
      <c r="J177" s="3"/>
      <c r="K177" s="7" t="str" cm="1">
        <f t="array" ref="K177">IF(OR(C177="",B177="",I177=""),"",IFERROR((I177-_xlfn.XLOOKUP(1,(C$2:C$501=C177)*(B$2:B$501&lt;&gt;"")*(B$2:B$501=_xlfn.MAXIFS(B$2:B$501,C$2:C$501,C177,B$2:B$501,"&lt;"&amp;B177))*(I$2:I$501&lt;&gt;""),I$2:I$501))/_xlfn.XLOOKUP(1,(C$2:C$501=C177)*(B$2:B$501&lt;&gt;"")*(B$2:B$501=_xlfn.MAXIFS(B$2:B$501,C$2:C$501,C177,B$2:B$501,"&lt;"&amp;B177))*(I$2:I$501&lt;&gt;""),I$2:I$501),""))</f>
        <v/>
      </c>
    </row>
    <row r="178" spans="1:11">
      <c r="A178" t="s">
        <v>162</v>
      </c>
      <c r="C178" t="s">
        <v>43</v>
      </c>
      <c r="D178" t="s">
        <v>44</v>
      </c>
      <c r="E178" t="s">
        <v>23</v>
      </c>
      <c r="F178" s="3">
        <v>3500</v>
      </c>
      <c r="G178" s="3">
        <v>3583</v>
      </c>
      <c r="H178" s="3">
        <v>3485</v>
      </c>
      <c r="I178" s="3">
        <v>3469</v>
      </c>
      <c r="J178" s="3">
        <v>500000</v>
      </c>
      <c r="K178" s="7" t="str" cm="1">
        <f t="array" ref="K178">IF(OR(C178="",B178="",I178=""),"",IFERROR((I178-_xlfn.XLOOKUP(1,(C$2:C$501=C178)*(B$2:B$501&lt;&gt;"")*(B$2:B$501=_xlfn.MAXIFS(B$2:B$501,C$2:C$501,C178,B$2:B$501,"&lt;"&amp;B178))*(I$2:I$501&lt;&gt;""),I$2:I$501))/_xlfn.XLOOKUP(1,(C$2:C$501=C178)*(B$2:B$501&lt;&gt;"")*(B$2:B$501=_xlfn.MAXIFS(B$2:B$501,C$2:C$501,C178,B$2:B$501,"&lt;"&amp;B178))*(I$2:I$501&lt;&gt;""),I$2:I$501),""))</f>
        <v/>
      </c>
    </row>
    <row r="179" spans="1:11">
      <c r="A179" t="s">
        <v>163</v>
      </c>
      <c r="B179" s="2">
        <v>46054</v>
      </c>
      <c r="C179" t="s">
        <v>22</v>
      </c>
      <c r="D179" t="s">
        <v>22</v>
      </c>
      <c r="E179" t="s">
        <v>23</v>
      </c>
      <c r="F179" s="3">
        <v>2500</v>
      </c>
      <c r="G179" s="3">
        <v>2545</v>
      </c>
      <c r="H179" s="3">
        <v>2437</v>
      </c>
      <c r="I179" s="3">
        <v>2527</v>
      </c>
      <c r="J179" s="3">
        <v>100000</v>
      </c>
      <c r="K179" s="7" cm="1">
        <f t="array" ref="K179">IF(OR(C179="",B179="",I179=""),"",IFERROR((I179-_xlfn.XLOOKUP(1,(C$2:C$501=C179)*(B$2:B$501&lt;&gt;"")*(B$2:B$501=_xlfn.MAXIFS(B$2:B$501,C$2:C$501,C179,B$2:B$501,"&lt;"&amp;B179))*(I$2:I$501&lt;&gt;""),I$2:I$501))/_xlfn.XLOOKUP(1,(C$2:C$501=C179)*(B$2:B$501&lt;&gt;"")*(B$2:B$501=_xlfn.MAXIFS(B$2:B$501,C$2:C$501,C179,B$2:B$501,"&lt;"&amp;B179))*(I$2:I$501&lt;&gt;""),I$2:I$501),""))</f>
        <v>1.5812053115423903</v>
      </c>
    </row>
    <row r="180" spans="1:11">
      <c r="A180" t="s">
        <v>164</v>
      </c>
      <c r="B180" s="2">
        <v>46054</v>
      </c>
      <c r="C180" t="s">
        <v>43</v>
      </c>
      <c r="D180" t="s">
        <v>44</v>
      </c>
      <c r="E180" t="s">
        <v>23</v>
      </c>
      <c r="F180" s="3">
        <v>3500</v>
      </c>
      <c r="G180" s="3">
        <v>3572</v>
      </c>
      <c r="H180" s="3">
        <v>3461</v>
      </c>
      <c r="I180" s="3">
        <v>3494</v>
      </c>
      <c r="J180" s="3">
        <v>100000</v>
      </c>
      <c r="K180" s="7" cm="1">
        <f t="array" ref="K180">IF(OR(C180="",B180="",I180=""),"",IFERROR((I180-_xlfn.XLOOKUP(1,(C$2:C$501=C180)*(B$2:B$501&lt;&gt;"")*(B$2:B$501=_xlfn.MAXIFS(B$2:B$501,C$2:C$501,C180,B$2:B$501,"&lt;"&amp;B180))*(I$2:I$501&lt;&gt;""),I$2:I$501))/_xlfn.XLOOKUP(1,(C$2:C$501=C180)*(B$2:B$501&lt;&gt;"")*(B$2:B$501=_xlfn.MAXIFS(B$2:B$501,C$2:C$501,C180,B$2:B$501,"&lt;"&amp;B180))*(I$2:I$501&lt;&gt;""),I$2:I$501),""))</f>
        <v>0.40603621730382294</v>
      </c>
    </row>
    <row r="181" spans="1:11">
      <c r="A181" t="s">
        <v>165</v>
      </c>
      <c r="C181" t="s">
        <v>16</v>
      </c>
      <c r="D181" t="s">
        <v>17</v>
      </c>
      <c r="E181" t="s">
        <v>18</v>
      </c>
      <c r="F181" s="3"/>
      <c r="G181" s="3"/>
      <c r="H181" s="3"/>
      <c r="I181" s="3"/>
      <c r="J181" s="3"/>
      <c r="K181" s="7" t="str" cm="1">
        <f t="array" ref="K181">IF(OR(C181="",B181="",I181=""),"",IFERROR((I181-_xlfn.XLOOKUP(1,(C$2:C$501=C181)*(B$2:B$501&lt;&gt;"")*(B$2:B$501=_xlfn.MAXIFS(B$2:B$501,C$2:C$501,C181,B$2:B$501,"&lt;"&amp;B181))*(I$2:I$501&lt;&gt;""),I$2:I$501))/_xlfn.XLOOKUP(1,(C$2:C$501=C181)*(B$2:B$501&lt;&gt;"")*(B$2:B$501=_xlfn.MAXIFS(B$2:B$501,C$2:C$501,C181,B$2:B$501,"&lt;"&amp;B181))*(I$2:I$501&lt;&gt;""),I$2:I$501),""))</f>
        <v/>
      </c>
    </row>
    <row r="182" spans="1:11">
      <c r="A182" t="s">
        <v>165</v>
      </c>
      <c r="B182" s="2">
        <v>46023</v>
      </c>
      <c r="C182" t="s">
        <v>16</v>
      </c>
      <c r="D182" t="s">
        <v>17</v>
      </c>
      <c r="E182" t="s">
        <v>18</v>
      </c>
      <c r="F182" s="3"/>
      <c r="G182" s="3"/>
      <c r="H182" s="3"/>
      <c r="I182" s="3"/>
      <c r="J182" s="3">
        <v>100000</v>
      </c>
      <c r="K182" s="7" t="str" cm="1">
        <f t="array" ref="K182">IF(OR(C182="",B182="",I182=""),"",IFERROR((I182-_xlfn.XLOOKUP(1,(C$2:C$501=C182)*(B$2:B$501&lt;&gt;"")*(B$2:B$501=_xlfn.MAXIFS(B$2:B$501,C$2:C$501,C182,B$2:B$501,"&lt;"&amp;B182))*(I$2:I$501&lt;&gt;""),I$2:I$501))/_xlfn.XLOOKUP(1,(C$2:C$501=C182)*(B$2:B$501&lt;&gt;"")*(B$2:B$501=_xlfn.MAXIFS(B$2:B$501,C$2:C$501,C182,B$2:B$501,"&lt;"&amp;B182))*(I$2:I$501&lt;&gt;""),I$2:I$501),""))</f>
        <v/>
      </c>
    </row>
    <row r="183" spans="1:11">
      <c r="A183" t="s">
        <v>166</v>
      </c>
      <c r="B183" s="2">
        <v>46054</v>
      </c>
      <c r="C183" t="s">
        <v>43</v>
      </c>
      <c r="D183" t="s">
        <v>44</v>
      </c>
      <c r="E183" t="s">
        <v>23</v>
      </c>
      <c r="F183" s="3">
        <v>3500</v>
      </c>
      <c r="G183" s="3">
        <v>3515</v>
      </c>
      <c r="H183" s="3">
        <v>3487</v>
      </c>
      <c r="I183" s="3">
        <v>3478</v>
      </c>
      <c r="J183" s="3">
        <v>500000</v>
      </c>
      <c r="K183" s="7" cm="1">
        <f t="array" ref="K183">IF(OR(C183="",B183="",I183=""),"",IFERROR((I183-_xlfn.XLOOKUP(1,(C$2:C$501=C183)*(B$2:B$501&lt;&gt;"")*(B$2:B$501=_xlfn.MAXIFS(B$2:B$501,C$2:C$501,C183,B$2:B$501,"&lt;"&amp;B183))*(I$2:I$501&lt;&gt;""),I$2:I$501))/_xlfn.XLOOKUP(1,(C$2:C$501=C183)*(B$2:B$501&lt;&gt;"")*(B$2:B$501=_xlfn.MAXIFS(B$2:B$501,C$2:C$501,C183,B$2:B$501,"&lt;"&amp;B183))*(I$2:I$501&lt;&gt;""),I$2:I$501),""))</f>
        <v>0.39959758551307845</v>
      </c>
    </row>
    <row r="184" spans="1:11">
      <c r="A184" t="s">
        <v>167</v>
      </c>
      <c r="C184" t="s">
        <v>12</v>
      </c>
      <c r="D184" t="s">
        <v>13</v>
      </c>
      <c r="E184" t="s">
        <v>37</v>
      </c>
      <c r="F184" s="3">
        <v>1000</v>
      </c>
      <c r="G184" s="3">
        <v>1059</v>
      </c>
      <c r="H184" s="3">
        <v>987</v>
      </c>
      <c r="I184" s="3">
        <v>1049</v>
      </c>
      <c r="J184" s="3">
        <v>500000</v>
      </c>
      <c r="K184" s="7" t="str" cm="1">
        <f t="array" ref="K184">IF(OR(C184="",B184="",I184=""),"",IFERROR((I184-_xlfn.XLOOKUP(1,(C$2:C$501=C184)*(B$2:B$501&lt;&gt;"")*(B$2:B$501=_xlfn.MAXIFS(B$2:B$501,C$2:C$501,C184,B$2:B$501,"&lt;"&amp;B184))*(I$2:I$501&lt;&gt;""),I$2:I$501))/_xlfn.XLOOKUP(1,(C$2:C$501=C184)*(B$2:B$501&lt;&gt;"")*(B$2:B$501=_xlfn.MAXIFS(B$2:B$501,C$2:C$501,C184,B$2:B$501,"&lt;"&amp;B184))*(I$2:I$501&lt;&gt;""),I$2:I$501),""))</f>
        <v/>
      </c>
    </row>
    <row r="185" spans="1:11">
      <c r="A185" t="s">
        <v>168</v>
      </c>
      <c r="B185" s="2">
        <v>46082</v>
      </c>
      <c r="C185" t="s">
        <v>16</v>
      </c>
      <c r="D185" t="s">
        <v>17</v>
      </c>
      <c r="E185" t="s">
        <v>18</v>
      </c>
      <c r="F185" s="3">
        <v>3500</v>
      </c>
      <c r="G185" s="3">
        <v>3583</v>
      </c>
      <c r="H185" s="3">
        <v>3432</v>
      </c>
      <c r="I185" s="3">
        <v>3528</v>
      </c>
      <c r="J185" s="3">
        <v>100000</v>
      </c>
      <c r="K185" s="7" cm="1">
        <f t="array" ref="K185">IF(OR(C185="",B185="",I185=""),"",IFERROR((I185-_xlfn.XLOOKUP(1,(C$2:C$501=C185)*(B$2:B$501&lt;&gt;"")*(B$2:B$501=_xlfn.MAXIFS(B$2:B$501,C$2:C$501,C185,B$2:B$501,"&lt;"&amp;B185))*(I$2:I$501&lt;&gt;""),I$2:I$501))/_xlfn.XLOOKUP(1,(C$2:C$501=C185)*(B$2:B$501&lt;&gt;"")*(B$2:B$501=_xlfn.MAXIFS(B$2:B$501,C$2:C$501,C185,B$2:B$501,"&lt;"&amp;B185))*(I$2:I$501&lt;&gt;""),I$2:I$501),""))</f>
        <v>1.6421780466724288E-2</v>
      </c>
    </row>
    <row r="186" spans="1:11">
      <c r="A186" t="s">
        <v>169</v>
      </c>
      <c r="B186" s="2">
        <v>46054</v>
      </c>
      <c r="C186" t="s">
        <v>22</v>
      </c>
      <c r="D186" t="s">
        <v>22</v>
      </c>
      <c r="E186" t="s">
        <v>23</v>
      </c>
      <c r="F186" s="3">
        <v>3500</v>
      </c>
      <c r="G186" s="3">
        <v>3585</v>
      </c>
      <c r="H186" s="3">
        <v>3426</v>
      </c>
      <c r="I186" s="3">
        <v>3545</v>
      </c>
      <c r="J186" s="3">
        <v>100000</v>
      </c>
      <c r="K186" s="7" cm="1">
        <f t="array" ref="K186">IF(OR(C186="",B186="",I186=""),"",IFERROR((I186-_xlfn.XLOOKUP(1,(C$2:C$501=C186)*(B$2:B$501&lt;&gt;"")*(B$2:B$501=_xlfn.MAXIFS(B$2:B$501,C$2:C$501,C186,B$2:B$501,"&lt;"&amp;B186))*(I$2:I$501&lt;&gt;""),I$2:I$501))/_xlfn.XLOOKUP(1,(C$2:C$501=C186)*(B$2:B$501&lt;&gt;"")*(B$2:B$501=_xlfn.MAXIFS(B$2:B$501,C$2:C$501,C186,B$2:B$501,"&lt;"&amp;B186))*(I$2:I$501&lt;&gt;""),I$2:I$501),""))</f>
        <v>2.6210418794688457</v>
      </c>
    </row>
    <row r="187" spans="1:11">
      <c r="A187" t="s">
        <v>170</v>
      </c>
      <c r="C187" t="s">
        <v>22</v>
      </c>
      <c r="D187" t="s">
        <v>22</v>
      </c>
      <c r="E187" t="s">
        <v>23</v>
      </c>
      <c r="F187" s="3"/>
      <c r="G187" s="3"/>
      <c r="H187" s="3"/>
      <c r="I187" s="3"/>
      <c r="J187" s="3">
        <v>250000</v>
      </c>
      <c r="K187" s="7" t="str" cm="1">
        <f t="array" ref="K187">IF(OR(C187="",B187="",I187=""),"",IFERROR((I187-_xlfn.XLOOKUP(1,(C$2:C$501=C187)*(B$2:B$501&lt;&gt;"")*(B$2:B$501=_xlfn.MAXIFS(B$2:B$501,C$2:C$501,C187,B$2:B$501,"&lt;"&amp;B187))*(I$2:I$501&lt;&gt;""),I$2:I$501))/_xlfn.XLOOKUP(1,(C$2:C$501=C187)*(B$2:B$501&lt;&gt;"")*(B$2:B$501=_xlfn.MAXIFS(B$2:B$501,C$2:C$501,C187,B$2:B$501,"&lt;"&amp;B187))*(I$2:I$501&lt;&gt;""),I$2:I$501),""))</f>
        <v/>
      </c>
    </row>
    <row r="188" spans="1:11">
      <c r="A188" t="s">
        <v>170</v>
      </c>
      <c r="B188" s="2">
        <v>46023</v>
      </c>
      <c r="C188" t="s">
        <v>22</v>
      </c>
      <c r="D188" t="s">
        <v>22</v>
      </c>
      <c r="E188" t="s">
        <v>23</v>
      </c>
      <c r="F188" s="3">
        <v>3500</v>
      </c>
      <c r="G188" s="3">
        <v>3565</v>
      </c>
      <c r="H188" s="3">
        <v>3476</v>
      </c>
      <c r="I188" s="3">
        <v>3539</v>
      </c>
      <c r="J188" s="3">
        <v>500000</v>
      </c>
      <c r="K188" s="7" t="str" cm="1">
        <f t="array" ref="K188">IF(OR(C188="",B188="",I188=""),"",IFERROR((I188-_xlfn.XLOOKUP(1,(C$2:C$501=C188)*(B$2:B$501&lt;&gt;"")*(B$2:B$501=_xlfn.MAXIFS(B$2:B$501,C$2:C$501,C188,B$2:B$501,"&lt;"&amp;B188))*(I$2:I$501&lt;&gt;""),I$2:I$501))/_xlfn.XLOOKUP(1,(C$2:C$501=C188)*(B$2:B$501&lt;&gt;"")*(B$2:B$501=_xlfn.MAXIFS(B$2:B$501,C$2:C$501,C188,B$2:B$501,"&lt;"&amp;B188))*(I$2:I$501&lt;&gt;""),I$2:I$501),""))</f>
        <v/>
      </c>
    </row>
    <row r="189" spans="1:11">
      <c r="A189" t="s">
        <v>171</v>
      </c>
      <c r="B189" s="2">
        <v>46082</v>
      </c>
      <c r="C189" t="s">
        <v>26</v>
      </c>
      <c r="D189" t="s">
        <v>27</v>
      </c>
      <c r="E189" t="s">
        <v>28</v>
      </c>
      <c r="F189" s="3">
        <v>3500</v>
      </c>
      <c r="G189" s="3">
        <v>3593</v>
      </c>
      <c r="H189" s="3">
        <v>3465</v>
      </c>
      <c r="I189" s="3">
        <v>3464</v>
      </c>
      <c r="J189" s="3">
        <v>500000</v>
      </c>
      <c r="K189" s="7" cm="1">
        <f t="array" ref="K189">IF(OR(C189="",B189="",I189=""),"",IFERROR((I189-_xlfn.XLOOKUP(1,(C$2:C$501=C189)*(B$2:B$501&lt;&gt;"")*(B$2:B$501=_xlfn.MAXIFS(B$2:B$501,C$2:C$501,C189,B$2:B$501,"&lt;"&amp;B189))*(I$2:I$501&lt;&gt;""),I$2:I$501))/_xlfn.XLOOKUP(1,(C$2:C$501=C189)*(B$2:B$501&lt;&gt;"")*(B$2:B$501=_xlfn.MAXIFS(B$2:B$501,C$2:C$501,C189,B$2:B$501,"&lt;"&amp;B189))*(I$2:I$501&lt;&gt;""),I$2:I$501),""))</f>
        <v>-1.8696883852691217E-2</v>
      </c>
    </row>
    <row r="190" spans="1:11">
      <c r="A190" t="s">
        <v>172</v>
      </c>
      <c r="C190" t="s">
        <v>16</v>
      </c>
      <c r="D190" t="s">
        <v>17</v>
      </c>
      <c r="E190" t="s">
        <v>18</v>
      </c>
      <c r="F190" s="3">
        <v>1000</v>
      </c>
      <c r="G190" s="3">
        <v>1040</v>
      </c>
      <c r="H190" s="3">
        <v>970</v>
      </c>
      <c r="I190" s="3">
        <v>950</v>
      </c>
      <c r="J190" s="3"/>
      <c r="K190" s="7" t="str" cm="1">
        <f t="array" ref="K190">IF(OR(C190="",B190="",I190=""),"",IFERROR((I190-_xlfn.XLOOKUP(1,(C$2:C$501=C190)*(B$2:B$501&lt;&gt;"")*(B$2:B$501=_xlfn.MAXIFS(B$2:B$501,C$2:C$501,C190,B$2:B$501,"&lt;"&amp;B190))*(I$2:I$501&lt;&gt;""),I$2:I$501))/_xlfn.XLOOKUP(1,(C$2:C$501=C190)*(B$2:B$501&lt;&gt;"")*(B$2:B$501=_xlfn.MAXIFS(B$2:B$501,C$2:C$501,C190,B$2:B$501,"&lt;"&amp;B190))*(I$2:I$501&lt;&gt;""),I$2:I$501),""))</f>
        <v/>
      </c>
    </row>
    <row r="191" spans="1:11">
      <c r="A191" t="s">
        <v>172</v>
      </c>
      <c r="B191" s="2">
        <v>46082</v>
      </c>
      <c r="C191" t="s">
        <v>26</v>
      </c>
      <c r="D191" t="s">
        <v>27</v>
      </c>
      <c r="E191" t="s">
        <v>28</v>
      </c>
      <c r="F191" s="3"/>
      <c r="G191" s="3"/>
      <c r="H191" s="3"/>
      <c r="I191" s="3"/>
      <c r="J191" s="3">
        <v>100000</v>
      </c>
      <c r="K191" s="7" t="str" cm="1">
        <f t="array" ref="K191">IF(OR(C191="",B191="",I191=""),"",IFERROR((I191-_xlfn.XLOOKUP(1,(C$2:C$501=C191)*(B$2:B$501&lt;&gt;"")*(B$2:B$501=_xlfn.MAXIFS(B$2:B$501,C$2:C$501,C191,B$2:B$501,"&lt;"&amp;B191))*(I$2:I$501&lt;&gt;""),I$2:I$501))/_xlfn.XLOOKUP(1,(C$2:C$501=C191)*(B$2:B$501&lt;&gt;"")*(B$2:B$501=_xlfn.MAXIFS(B$2:B$501,C$2:C$501,C191,B$2:B$501,"&lt;"&amp;B191))*(I$2:I$501&lt;&gt;""),I$2:I$501),""))</f>
        <v/>
      </c>
    </row>
    <row r="192" spans="1:11">
      <c r="A192" t="s">
        <v>173</v>
      </c>
      <c r="B192" s="2">
        <v>46054</v>
      </c>
      <c r="C192" t="s">
        <v>12</v>
      </c>
      <c r="D192" t="s">
        <v>13</v>
      </c>
      <c r="E192" t="s">
        <v>37</v>
      </c>
      <c r="F192" s="3">
        <v>2500</v>
      </c>
      <c r="G192" s="3">
        <v>2541</v>
      </c>
      <c r="H192" s="3">
        <v>2450</v>
      </c>
      <c r="I192" s="3">
        <v>2486</v>
      </c>
      <c r="J192" s="3">
        <v>500000</v>
      </c>
      <c r="K192" s="7" cm="1">
        <f t="array" ref="K192">IF(OR(C192="",B192="",I192=""),"",IFERROR((I192-_xlfn.XLOOKUP(1,(C$2:C$501=C192)*(B$2:B$501&lt;&gt;"")*(B$2:B$501=_xlfn.MAXIFS(B$2:B$501,C$2:C$501,C192,B$2:B$501,"&lt;"&amp;B192))*(I$2:I$501&lt;&gt;""),I$2:I$501))/_xlfn.XLOOKUP(1,(C$2:C$501=C192)*(B$2:B$501&lt;&gt;"")*(B$2:B$501=_xlfn.MAXIFS(B$2:B$501,C$2:C$501,C192,B$2:B$501,"&lt;"&amp;B192))*(I$2:I$501&lt;&gt;""),I$2:I$501),""))</f>
        <v>5.2567731500202186E-3</v>
      </c>
    </row>
    <row r="193" spans="1:11">
      <c r="A193" t="s">
        <v>174</v>
      </c>
      <c r="B193" s="2">
        <v>46023</v>
      </c>
      <c r="C193" t="s">
        <v>26</v>
      </c>
      <c r="D193" t="s">
        <v>27</v>
      </c>
      <c r="E193" t="s">
        <v>28</v>
      </c>
      <c r="F193" s="3">
        <v>2500</v>
      </c>
      <c r="G193" s="3">
        <v>2514</v>
      </c>
      <c r="H193" s="3">
        <v>2470</v>
      </c>
      <c r="I193" s="3">
        <v>2503</v>
      </c>
      <c r="J193" s="3"/>
      <c r="K193" s="7" t="str" cm="1">
        <f t="array" ref="K193">IF(OR(C193="",B193="",I193=""),"",IFERROR((I193-_xlfn.XLOOKUP(1,(C$2:C$501=C193)*(B$2:B$501&lt;&gt;"")*(B$2:B$501=_xlfn.MAXIFS(B$2:B$501,C$2:C$501,C193,B$2:B$501,"&lt;"&amp;B193))*(I$2:I$501&lt;&gt;""),I$2:I$501))/_xlfn.XLOOKUP(1,(C$2:C$501=C193)*(B$2:B$501&lt;&gt;"")*(B$2:B$501=_xlfn.MAXIFS(B$2:B$501,C$2:C$501,C193,B$2:B$501,"&lt;"&amp;B193))*(I$2:I$501&lt;&gt;""),I$2:I$501),""))</f>
        <v/>
      </c>
    </row>
    <row r="194" spans="1:11">
      <c r="A194" t="s">
        <v>175</v>
      </c>
      <c r="B194" s="2">
        <v>46082</v>
      </c>
      <c r="C194" t="s">
        <v>43</v>
      </c>
      <c r="D194" t="s">
        <v>44</v>
      </c>
      <c r="E194" t="s">
        <v>23</v>
      </c>
      <c r="F194" s="3">
        <v>3500</v>
      </c>
      <c r="G194" s="3">
        <v>3549</v>
      </c>
      <c r="H194" s="3">
        <v>3436</v>
      </c>
      <c r="I194" s="3">
        <v>3520</v>
      </c>
      <c r="J194" s="3">
        <v>250000</v>
      </c>
      <c r="K194" s="7" cm="1">
        <f t="array" ref="K194">IF(OR(C194="",B194="",I194=""),"",IFERROR((I194-_xlfn.XLOOKUP(1,(C$2:C$501=C194)*(B$2:B$501&lt;&gt;"")*(B$2:B$501=_xlfn.MAXIFS(B$2:B$501,C$2:C$501,C194,B$2:B$501,"&lt;"&amp;B194))*(I$2:I$501&lt;&gt;""),I$2:I$501))/_xlfn.XLOOKUP(1,(C$2:C$501=C194)*(B$2:B$501&lt;&gt;"")*(B$2:B$501=_xlfn.MAXIFS(B$2:B$501,C$2:C$501,C194,B$2:B$501,"&lt;"&amp;B194))*(I$2:I$501&lt;&gt;""),I$2:I$501),""))</f>
        <v>2.3846153846153846</v>
      </c>
    </row>
    <row r="195" spans="1:11">
      <c r="A195" t="s">
        <v>175</v>
      </c>
      <c r="B195" s="2">
        <v>46023</v>
      </c>
      <c r="C195" t="s">
        <v>22</v>
      </c>
      <c r="D195" t="s">
        <v>22</v>
      </c>
      <c r="E195" t="s">
        <v>23</v>
      </c>
      <c r="F195" s="3"/>
      <c r="G195" s="3"/>
      <c r="H195" s="3"/>
      <c r="I195" s="3"/>
      <c r="J195" s="3">
        <v>500000</v>
      </c>
      <c r="K195" s="7" t="str" cm="1">
        <f t="array" ref="K195">IF(OR(C195="",B195="",I195=""),"",IFERROR((I195-_xlfn.XLOOKUP(1,(C$2:C$501=C195)*(B$2:B$501&lt;&gt;"")*(B$2:B$501=_xlfn.MAXIFS(B$2:B$501,C$2:C$501,C195,B$2:B$501,"&lt;"&amp;B195))*(I$2:I$501&lt;&gt;""),I$2:I$501))/_xlfn.XLOOKUP(1,(C$2:C$501=C195)*(B$2:B$501&lt;&gt;"")*(B$2:B$501=_xlfn.MAXIFS(B$2:B$501,C$2:C$501,C195,B$2:B$501,"&lt;"&amp;B195))*(I$2:I$501&lt;&gt;""),I$2:I$501),""))</f>
        <v/>
      </c>
    </row>
    <row r="196" spans="1:11">
      <c r="A196" t="s">
        <v>176</v>
      </c>
      <c r="B196" s="2">
        <v>46082</v>
      </c>
      <c r="C196" t="s">
        <v>12</v>
      </c>
      <c r="D196" t="s">
        <v>13</v>
      </c>
      <c r="E196" t="s">
        <v>37</v>
      </c>
      <c r="F196" s="3">
        <v>3500</v>
      </c>
      <c r="G196" s="3">
        <v>3563</v>
      </c>
      <c r="H196" s="3">
        <v>3449</v>
      </c>
      <c r="I196" s="3">
        <v>3513</v>
      </c>
      <c r="J196" s="3">
        <v>250000</v>
      </c>
      <c r="K196" s="7" cm="1">
        <f t="array" ref="K196">IF(OR(C196="",B196="",I196=""),"",IFERROR((I196-_xlfn.XLOOKUP(1,(C$2:C$501=C196)*(B$2:B$501&lt;&gt;"")*(B$2:B$501=_xlfn.MAXIFS(B$2:B$501,C$2:C$501,C196,B$2:B$501,"&lt;"&amp;B196))*(I$2:I$501&lt;&gt;""),I$2:I$501))/_xlfn.XLOOKUP(1,(C$2:C$501=C196)*(B$2:B$501&lt;&gt;"")*(B$2:B$501=_xlfn.MAXIFS(B$2:B$501,C$2:C$501,C196,B$2:B$501,"&lt;"&amp;B196))*(I$2:I$501&lt;&gt;""),I$2:I$501),""))</f>
        <v>0.4216916228247673</v>
      </c>
    </row>
    <row r="197" spans="1:11">
      <c r="A197" t="s">
        <v>176</v>
      </c>
      <c r="B197" s="2">
        <v>46054</v>
      </c>
      <c r="C197" t="s">
        <v>26</v>
      </c>
      <c r="D197" t="s">
        <v>27</v>
      </c>
      <c r="E197" t="s">
        <v>28</v>
      </c>
      <c r="F197" s="3">
        <v>3500</v>
      </c>
      <c r="G197" s="3">
        <v>3531</v>
      </c>
      <c r="H197" s="3">
        <v>3452</v>
      </c>
      <c r="I197" s="3">
        <v>3520</v>
      </c>
      <c r="J197" s="3">
        <v>100000</v>
      </c>
      <c r="K197" s="7" cm="1">
        <f t="array" ref="K197">IF(OR(C197="",B197="",I197=""),"",IFERROR((I197-_xlfn.XLOOKUP(1,(C$2:C$501=C197)*(B$2:B$501&lt;&gt;"")*(B$2:B$501=_xlfn.MAXIFS(B$2:B$501,C$2:C$501,C197,B$2:B$501,"&lt;"&amp;B197))*(I$2:I$501&lt;&gt;""),I$2:I$501))/_xlfn.XLOOKUP(1,(C$2:C$501=C197)*(B$2:B$501&lt;&gt;"")*(B$2:B$501=_xlfn.MAXIFS(B$2:B$501,C$2:C$501,C197,B$2:B$501,"&lt;"&amp;B197))*(I$2:I$501&lt;&gt;""),I$2:I$501),""))</f>
        <v>0.39185448793989719</v>
      </c>
    </row>
    <row r="198" spans="1:11">
      <c r="A198" t="s">
        <v>177</v>
      </c>
      <c r="B198" s="2">
        <v>46023</v>
      </c>
      <c r="C198" t="s">
        <v>43</v>
      </c>
      <c r="D198" t="s">
        <v>44</v>
      </c>
      <c r="E198" t="s">
        <v>23</v>
      </c>
      <c r="F198" s="3">
        <v>1000</v>
      </c>
      <c r="G198" s="3">
        <v>1088</v>
      </c>
      <c r="H198" s="3">
        <v>935</v>
      </c>
      <c r="I198" s="3">
        <v>1031</v>
      </c>
      <c r="J198" s="3">
        <v>500000</v>
      </c>
      <c r="K198" s="7" t="str" cm="1">
        <f t="array" ref="K198">IF(OR(C198="",B198="",I198=""),"",IFERROR((I198-_xlfn.XLOOKUP(1,(C$2:C$501=C198)*(B$2:B$501&lt;&gt;"")*(B$2:B$501=_xlfn.MAXIFS(B$2:B$501,C$2:C$501,C198,B$2:B$501,"&lt;"&amp;B198))*(I$2:I$501&lt;&gt;""),I$2:I$501))/_xlfn.XLOOKUP(1,(C$2:C$501=C198)*(B$2:B$501&lt;&gt;"")*(B$2:B$501=_xlfn.MAXIFS(B$2:B$501,C$2:C$501,C198,B$2:B$501,"&lt;"&amp;B198))*(I$2:I$501&lt;&gt;""),I$2:I$501),""))</f>
        <v/>
      </c>
    </row>
    <row r="199" spans="1:11">
      <c r="A199" t="s">
        <v>178</v>
      </c>
      <c r="C199" t="s">
        <v>22</v>
      </c>
      <c r="D199" t="s">
        <v>22</v>
      </c>
      <c r="E199" t="s">
        <v>23</v>
      </c>
      <c r="F199" s="3">
        <v>1000</v>
      </c>
      <c r="G199" s="3">
        <v>1080</v>
      </c>
      <c r="H199" s="3">
        <v>923</v>
      </c>
      <c r="I199" s="3">
        <v>970</v>
      </c>
      <c r="J199" s="3">
        <v>500000</v>
      </c>
      <c r="K199" s="7" t="str" cm="1">
        <f t="array" ref="K199">IF(OR(C199="",B199="",I199=""),"",IFERROR((I199-_xlfn.XLOOKUP(1,(C$2:C$501=C199)*(B$2:B$501&lt;&gt;"")*(B$2:B$501=_xlfn.MAXIFS(B$2:B$501,C$2:C$501,C199,B$2:B$501,"&lt;"&amp;B199))*(I$2:I$501&lt;&gt;""),I$2:I$501))/_xlfn.XLOOKUP(1,(C$2:C$501=C199)*(B$2:B$501&lt;&gt;"")*(B$2:B$501=_xlfn.MAXIFS(B$2:B$501,C$2:C$501,C199,B$2:B$501,"&lt;"&amp;B199))*(I$2:I$501&lt;&gt;""),I$2:I$501),""))</f>
        <v/>
      </c>
    </row>
    <row r="200" spans="1:11">
      <c r="A200" t="s">
        <v>179</v>
      </c>
      <c r="B200" s="2">
        <v>46054</v>
      </c>
      <c r="C200" t="s">
        <v>16</v>
      </c>
      <c r="D200" t="s">
        <v>17</v>
      </c>
      <c r="E200" t="s">
        <v>18</v>
      </c>
      <c r="F200" s="3">
        <v>2500</v>
      </c>
      <c r="G200" s="3">
        <v>2590</v>
      </c>
      <c r="H200" s="3">
        <v>2425</v>
      </c>
      <c r="I200" s="3">
        <v>2543</v>
      </c>
      <c r="J200" s="3">
        <v>250000</v>
      </c>
      <c r="K200" s="7" cm="1">
        <f t="array" ref="K200">IF(OR(C200="",B200="",I200=""),"",IFERROR((I200-_xlfn.XLOOKUP(1,(C$2:C$501=C200)*(B$2:B$501&lt;&gt;"")*(B$2:B$501=_xlfn.MAXIFS(B$2:B$501,C$2:C$501,C200,B$2:B$501,"&lt;"&amp;B200))*(I$2:I$501&lt;&gt;""),I$2:I$501))/_xlfn.XLOOKUP(1,(C$2:C$501=C200)*(B$2:B$501&lt;&gt;"")*(B$2:B$501=_xlfn.MAXIFS(B$2:B$501,C$2:C$501,C200,B$2:B$501,"&lt;"&amp;B200))*(I$2:I$501&lt;&gt;""),I$2:I$501),""))</f>
        <v>2.581686163775716E-2</v>
      </c>
    </row>
    <row r="201" spans="1:11">
      <c r="A201" t="s">
        <v>180</v>
      </c>
      <c r="B201" s="2">
        <v>46054</v>
      </c>
      <c r="C201" t="s">
        <v>12</v>
      </c>
      <c r="D201" t="s">
        <v>13</v>
      </c>
      <c r="E201" t="s">
        <v>37</v>
      </c>
      <c r="F201" s="3"/>
      <c r="G201" s="3"/>
      <c r="H201" s="3"/>
      <c r="I201" s="3"/>
      <c r="J201" s="3">
        <v>250000</v>
      </c>
      <c r="K201" s="7" t="str" cm="1">
        <f t="array" ref="K201">IF(OR(C201="",B201="",I201=""),"",IFERROR((I201-_xlfn.XLOOKUP(1,(C$2:C$501=C201)*(B$2:B$501&lt;&gt;"")*(B$2:B$501=_xlfn.MAXIFS(B$2:B$501,C$2:C$501,C201,B$2:B$501,"&lt;"&amp;B201))*(I$2:I$501&lt;&gt;""),I$2:I$501))/_xlfn.XLOOKUP(1,(C$2:C$501=C201)*(B$2:B$501&lt;&gt;"")*(B$2:B$501=_xlfn.MAXIFS(B$2:B$501,C$2:C$501,C201,B$2:B$501,"&lt;"&amp;B201))*(I$2:I$501&lt;&gt;""),I$2:I$501),""))</f>
        <v/>
      </c>
    </row>
    <row r="202" spans="1:11">
      <c r="A202" t="s">
        <v>181</v>
      </c>
      <c r="B202" s="2">
        <v>46023</v>
      </c>
      <c r="C202" t="s">
        <v>26</v>
      </c>
      <c r="D202" t="s">
        <v>27</v>
      </c>
      <c r="E202" t="s">
        <v>28</v>
      </c>
      <c r="F202" s="3">
        <v>1000</v>
      </c>
      <c r="G202" s="3">
        <v>1069</v>
      </c>
      <c r="H202" s="3">
        <v>951</v>
      </c>
      <c r="I202" s="3">
        <v>1026</v>
      </c>
      <c r="J202" s="3">
        <v>250000</v>
      </c>
      <c r="K202" s="7" t="str" cm="1">
        <f t="array" ref="K202">IF(OR(C202="",B202="",I202=""),"",IFERROR((I202-_xlfn.XLOOKUP(1,(C$2:C$501=C202)*(B$2:B$501&lt;&gt;"")*(B$2:B$501=_xlfn.MAXIFS(B$2:B$501,C$2:C$501,C202,B$2:B$501,"&lt;"&amp;B202))*(I$2:I$501&lt;&gt;""),I$2:I$501))/_xlfn.XLOOKUP(1,(C$2:C$501=C202)*(B$2:B$501&lt;&gt;"")*(B$2:B$501=_xlfn.MAXIFS(B$2:B$501,C$2:C$501,C202,B$2:B$501,"&lt;"&amp;B202))*(I$2:I$501&lt;&gt;""),I$2:I$501),""))</f>
        <v/>
      </c>
    </row>
    <row r="203" spans="1:11">
      <c r="A203" t="s">
        <v>182</v>
      </c>
      <c r="C203" t="s">
        <v>22</v>
      </c>
      <c r="D203" t="s">
        <v>22</v>
      </c>
      <c r="E203" t="s">
        <v>23</v>
      </c>
      <c r="F203" s="3">
        <v>3500</v>
      </c>
      <c r="G203" s="3">
        <v>3588</v>
      </c>
      <c r="H203" s="3">
        <v>3489</v>
      </c>
      <c r="I203" s="3">
        <v>3497</v>
      </c>
      <c r="J203" s="3">
        <v>100000</v>
      </c>
      <c r="K203" s="7" t="str" cm="1">
        <f t="array" ref="K203">IF(OR(C203="",B203="",I203=""),"",IFERROR((I203-_xlfn.XLOOKUP(1,(C$2:C$501=C203)*(B$2:B$501&lt;&gt;"")*(B$2:B$501=_xlfn.MAXIFS(B$2:B$501,C$2:C$501,C203,B$2:B$501,"&lt;"&amp;B203))*(I$2:I$501&lt;&gt;""),I$2:I$501))/_xlfn.XLOOKUP(1,(C$2:C$501=C203)*(B$2:B$501&lt;&gt;"")*(B$2:B$501=_xlfn.MAXIFS(B$2:B$501,C$2:C$501,C203,B$2:B$501,"&lt;"&amp;B203))*(I$2:I$501&lt;&gt;""),I$2:I$501),""))</f>
        <v/>
      </c>
    </row>
    <row r="204" spans="1:11">
      <c r="A204" t="s">
        <v>182</v>
      </c>
      <c r="B204" s="2">
        <v>46023</v>
      </c>
      <c r="C204" t="s">
        <v>22</v>
      </c>
      <c r="D204" t="s">
        <v>22</v>
      </c>
      <c r="E204" t="s">
        <v>23</v>
      </c>
      <c r="F204" s="3"/>
      <c r="G204" s="3"/>
      <c r="H204" s="3"/>
      <c r="I204" s="3"/>
      <c r="J204" s="3"/>
      <c r="K204" s="7" t="str" cm="1">
        <f t="array" ref="K204">IF(OR(C204="",B204="",I204=""),"",IFERROR((I204-_xlfn.XLOOKUP(1,(C$2:C$501=C204)*(B$2:B$501&lt;&gt;"")*(B$2:B$501=_xlfn.MAXIFS(B$2:B$501,C$2:C$501,C204,B$2:B$501,"&lt;"&amp;B204))*(I$2:I$501&lt;&gt;""),I$2:I$501))/_xlfn.XLOOKUP(1,(C$2:C$501=C204)*(B$2:B$501&lt;&gt;"")*(B$2:B$501=_xlfn.MAXIFS(B$2:B$501,C$2:C$501,C204,B$2:B$501,"&lt;"&amp;B204))*(I$2:I$501&lt;&gt;""),I$2:I$501),""))</f>
        <v/>
      </c>
    </row>
    <row r="205" spans="1:11">
      <c r="A205" t="s">
        <v>183</v>
      </c>
      <c r="B205" s="2">
        <v>46082</v>
      </c>
      <c r="C205" t="s">
        <v>16</v>
      </c>
      <c r="D205" t="s">
        <v>17</v>
      </c>
      <c r="E205" t="s">
        <v>18</v>
      </c>
      <c r="F205" s="3">
        <v>3500</v>
      </c>
      <c r="G205" s="3">
        <v>3555</v>
      </c>
      <c r="H205" s="3">
        <v>3421</v>
      </c>
      <c r="I205" s="3">
        <v>3463</v>
      </c>
      <c r="J205" s="3">
        <v>250000</v>
      </c>
      <c r="K205" s="7" cm="1">
        <f t="array" ref="K205">IF(OR(C205="",B205="",I205=""),"",IFERROR((I205-_xlfn.XLOOKUP(1,(C$2:C$501=C205)*(B$2:B$501&lt;&gt;"")*(B$2:B$501=_xlfn.MAXIFS(B$2:B$501,C$2:C$501,C205,B$2:B$501,"&lt;"&amp;B205))*(I$2:I$501&lt;&gt;""),I$2:I$501))/_xlfn.XLOOKUP(1,(C$2:C$501=C205)*(B$2:B$501&lt;&gt;"")*(B$2:B$501=_xlfn.MAXIFS(B$2:B$501,C$2:C$501,C205,B$2:B$501,"&lt;"&amp;B205))*(I$2:I$501&lt;&gt;""),I$2:I$501),""))</f>
        <v>-2.3048112935753384E-3</v>
      </c>
    </row>
    <row r="206" spans="1:11">
      <c r="A206" t="s">
        <v>184</v>
      </c>
      <c r="B206" s="2">
        <v>46023</v>
      </c>
      <c r="C206" t="s">
        <v>16</v>
      </c>
      <c r="D206" t="s">
        <v>17</v>
      </c>
      <c r="E206" t="s">
        <v>18</v>
      </c>
      <c r="F206" s="3">
        <v>1000</v>
      </c>
      <c r="G206" s="3">
        <v>1048</v>
      </c>
      <c r="H206" s="3">
        <v>952</v>
      </c>
      <c r="I206" s="3">
        <v>1041</v>
      </c>
      <c r="J206" s="3">
        <v>250000</v>
      </c>
      <c r="K206" s="7" t="str" cm="1">
        <f t="array" ref="K206">IF(OR(C206="",B206="",I206=""),"",IFERROR((I206-_xlfn.XLOOKUP(1,(C$2:C$501=C206)*(B$2:B$501&lt;&gt;"")*(B$2:B$501=_xlfn.MAXIFS(B$2:B$501,C$2:C$501,C206,B$2:B$501,"&lt;"&amp;B206))*(I$2:I$501&lt;&gt;""),I$2:I$501))/_xlfn.XLOOKUP(1,(C$2:C$501=C206)*(B$2:B$501&lt;&gt;"")*(B$2:B$501=_xlfn.MAXIFS(B$2:B$501,C$2:C$501,C206,B$2:B$501,"&lt;"&amp;B206))*(I$2:I$501&lt;&gt;""),I$2:I$501),""))</f>
        <v/>
      </c>
    </row>
    <row r="207" spans="1:11">
      <c r="A207" t="s">
        <v>185</v>
      </c>
      <c r="B207" s="2">
        <v>46023</v>
      </c>
      <c r="C207" t="s">
        <v>26</v>
      </c>
      <c r="D207" t="s">
        <v>27</v>
      </c>
      <c r="E207" t="s">
        <v>28</v>
      </c>
      <c r="F207" s="3"/>
      <c r="G207" s="3"/>
      <c r="H207" s="3"/>
      <c r="I207" s="3"/>
      <c r="J207" s="3">
        <v>500000</v>
      </c>
      <c r="K207" s="7" t="str" cm="1">
        <f t="array" ref="K207">IF(OR(C207="",B207="",I207=""),"",IFERROR((I207-_xlfn.XLOOKUP(1,(C$2:C$501=C207)*(B$2:B$501&lt;&gt;"")*(B$2:B$501=_xlfn.MAXIFS(B$2:B$501,C$2:C$501,C207,B$2:B$501,"&lt;"&amp;B207))*(I$2:I$501&lt;&gt;""),I$2:I$501))/_xlfn.XLOOKUP(1,(C$2:C$501=C207)*(B$2:B$501&lt;&gt;"")*(B$2:B$501=_xlfn.MAXIFS(B$2:B$501,C$2:C$501,C207,B$2:B$501,"&lt;"&amp;B207))*(I$2:I$501&lt;&gt;""),I$2:I$501),""))</f>
        <v/>
      </c>
    </row>
    <row r="208" spans="1:11">
      <c r="A208" t="s">
        <v>185</v>
      </c>
      <c r="B208" s="2">
        <v>46054</v>
      </c>
      <c r="C208" t="s">
        <v>12</v>
      </c>
      <c r="D208" t="s">
        <v>13</v>
      </c>
      <c r="E208" t="s">
        <v>37</v>
      </c>
      <c r="F208" s="3">
        <v>2500</v>
      </c>
      <c r="G208" s="3">
        <v>2524</v>
      </c>
      <c r="H208" s="3">
        <v>2441</v>
      </c>
      <c r="I208" s="3">
        <v>2475</v>
      </c>
      <c r="J208" s="3"/>
      <c r="K208" s="7" cm="1">
        <f t="array" ref="K208">IF(OR(C208="",B208="",I208=""),"",IFERROR((I208-_xlfn.XLOOKUP(1,(C$2:C$501=C208)*(B$2:B$501&lt;&gt;"")*(B$2:B$501=_xlfn.MAXIFS(B$2:B$501,C$2:C$501,C208,B$2:B$501,"&lt;"&amp;B208))*(I$2:I$501&lt;&gt;""),I$2:I$501))/_xlfn.XLOOKUP(1,(C$2:C$501=C208)*(B$2:B$501&lt;&gt;"")*(B$2:B$501=_xlfn.MAXIFS(B$2:B$501,C$2:C$501,C208,B$2:B$501,"&lt;"&amp;B208))*(I$2:I$501&lt;&gt;""),I$2:I$501),""))</f>
        <v>8.0873433077234124E-4</v>
      </c>
    </row>
    <row r="209" spans="1:11">
      <c r="A209" t="s">
        <v>186</v>
      </c>
      <c r="B209" s="2">
        <v>46054</v>
      </c>
      <c r="C209" t="s">
        <v>26</v>
      </c>
      <c r="D209" t="s">
        <v>27</v>
      </c>
      <c r="E209" t="s">
        <v>28</v>
      </c>
      <c r="F209" s="3"/>
      <c r="G209" s="3"/>
      <c r="H209" s="3"/>
      <c r="I209" s="3"/>
      <c r="J209" s="3">
        <v>500000</v>
      </c>
      <c r="K209" s="7" t="str" cm="1">
        <f t="array" ref="K209">IF(OR(C209="",B209="",I209=""),"",IFERROR((I209-_xlfn.XLOOKUP(1,(C$2:C$501=C209)*(B$2:B$501&lt;&gt;"")*(B$2:B$501=_xlfn.MAXIFS(B$2:B$501,C$2:C$501,C209,B$2:B$501,"&lt;"&amp;B209))*(I$2:I$501&lt;&gt;""),I$2:I$501))/_xlfn.XLOOKUP(1,(C$2:C$501=C209)*(B$2:B$501&lt;&gt;"")*(B$2:B$501=_xlfn.MAXIFS(B$2:B$501,C$2:C$501,C209,B$2:B$501,"&lt;"&amp;B209))*(I$2:I$501&lt;&gt;""),I$2:I$501),""))</f>
        <v/>
      </c>
    </row>
    <row r="210" spans="1:11">
      <c r="A210" t="s">
        <v>187</v>
      </c>
      <c r="B210" s="2">
        <v>46054</v>
      </c>
      <c r="C210" t="s">
        <v>22</v>
      </c>
      <c r="D210" t="s">
        <v>22</v>
      </c>
      <c r="E210" t="s">
        <v>23</v>
      </c>
      <c r="F210" s="3"/>
      <c r="G210" s="3"/>
      <c r="H210" s="3"/>
      <c r="I210" s="3"/>
      <c r="J210" s="3"/>
      <c r="K210" s="7" t="str" cm="1">
        <f t="array" ref="K210">IF(OR(C210="",B210="",I210=""),"",IFERROR((I210-_xlfn.XLOOKUP(1,(C$2:C$501=C210)*(B$2:B$501&lt;&gt;"")*(B$2:B$501=_xlfn.MAXIFS(B$2:B$501,C$2:C$501,C210,B$2:B$501,"&lt;"&amp;B210))*(I$2:I$501&lt;&gt;""),I$2:I$501))/_xlfn.XLOOKUP(1,(C$2:C$501=C210)*(B$2:B$501&lt;&gt;"")*(B$2:B$501=_xlfn.MAXIFS(B$2:B$501,C$2:C$501,C210,B$2:B$501,"&lt;"&amp;B210))*(I$2:I$501&lt;&gt;""),I$2:I$501),""))</f>
        <v/>
      </c>
    </row>
    <row r="211" spans="1:11">
      <c r="A211" t="s">
        <v>187</v>
      </c>
      <c r="B211" s="2">
        <v>46023</v>
      </c>
      <c r="C211" t="s">
        <v>12</v>
      </c>
      <c r="D211" t="s">
        <v>13</v>
      </c>
      <c r="E211" t="s">
        <v>37</v>
      </c>
      <c r="F211" s="3">
        <v>1000</v>
      </c>
      <c r="G211" s="3">
        <v>1080</v>
      </c>
      <c r="H211" s="3">
        <v>948</v>
      </c>
      <c r="I211" s="3">
        <v>994</v>
      </c>
      <c r="J211" s="3">
        <v>500000</v>
      </c>
      <c r="K211" s="7" t="str" cm="1">
        <f t="array" ref="K211">IF(OR(C211="",B211="",I211=""),"",IFERROR((I211-_xlfn.XLOOKUP(1,(C$2:C$501=C211)*(B$2:B$501&lt;&gt;"")*(B$2:B$501=_xlfn.MAXIFS(B$2:B$501,C$2:C$501,C211,B$2:B$501,"&lt;"&amp;B211))*(I$2:I$501&lt;&gt;""),I$2:I$501))/_xlfn.XLOOKUP(1,(C$2:C$501=C211)*(B$2:B$501&lt;&gt;"")*(B$2:B$501=_xlfn.MAXIFS(B$2:B$501,C$2:C$501,C211,B$2:B$501,"&lt;"&amp;B211))*(I$2:I$501&lt;&gt;""),I$2:I$501),""))</f>
        <v/>
      </c>
    </row>
    <row r="212" spans="1:11">
      <c r="A212" t="s">
        <v>188</v>
      </c>
      <c r="B212" s="2">
        <v>46023</v>
      </c>
      <c r="C212" t="s">
        <v>12</v>
      </c>
      <c r="D212" t="s">
        <v>13</v>
      </c>
      <c r="E212" t="s">
        <v>37</v>
      </c>
      <c r="F212" s="3">
        <v>3500</v>
      </c>
      <c r="G212" s="3">
        <v>3518</v>
      </c>
      <c r="H212" s="3">
        <v>3443</v>
      </c>
      <c r="I212" s="3">
        <v>3451</v>
      </c>
      <c r="J212" s="3"/>
      <c r="K212" s="7" t="str" cm="1">
        <f t="array" ref="K212">IF(OR(C212="",B212="",I212=""),"",IFERROR((I212-_xlfn.XLOOKUP(1,(C$2:C$501=C212)*(B$2:B$501&lt;&gt;"")*(B$2:B$501=_xlfn.MAXIFS(B$2:B$501,C$2:C$501,C212,B$2:B$501,"&lt;"&amp;B212))*(I$2:I$501&lt;&gt;""),I$2:I$501))/_xlfn.XLOOKUP(1,(C$2:C$501=C212)*(B$2:B$501&lt;&gt;"")*(B$2:B$501=_xlfn.MAXIFS(B$2:B$501,C$2:C$501,C212,B$2:B$501,"&lt;"&amp;B212))*(I$2:I$501&lt;&gt;""),I$2:I$501),""))</f>
        <v/>
      </c>
    </row>
    <row r="213" spans="1:11">
      <c r="A213" t="s">
        <v>188</v>
      </c>
      <c r="B213" s="2">
        <v>46054</v>
      </c>
      <c r="C213" t="s">
        <v>22</v>
      </c>
      <c r="D213" t="s">
        <v>22</v>
      </c>
      <c r="E213" t="s">
        <v>23</v>
      </c>
      <c r="F213" s="3">
        <v>2500</v>
      </c>
      <c r="G213" s="3">
        <v>2552</v>
      </c>
      <c r="H213" s="3">
        <v>2464</v>
      </c>
      <c r="I213" s="3">
        <v>2499</v>
      </c>
      <c r="J213" s="3">
        <v>250000</v>
      </c>
      <c r="K213" s="7" cm="1">
        <f t="array" ref="K213">IF(OR(C213="",B213="",I213=""),"",IFERROR((I213-_xlfn.XLOOKUP(1,(C$2:C$501=C213)*(B$2:B$501&lt;&gt;"")*(B$2:B$501=_xlfn.MAXIFS(B$2:B$501,C$2:C$501,C213,B$2:B$501,"&lt;"&amp;B213))*(I$2:I$501&lt;&gt;""),I$2:I$501))/_xlfn.XLOOKUP(1,(C$2:C$501=C213)*(B$2:B$501&lt;&gt;"")*(B$2:B$501=_xlfn.MAXIFS(B$2:B$501,C$2:C$501,C213,B$2:B$501,"&lt;"&amp;B213))*(I$2:I$501&lt;&gt;""),I$2:I$501),""))</f>
        <v>1.5526046986721145</v>
      </c>
    </row>
    <row r="214" spans="1:11">
      <c r="A214" t="s">
        <v>189</v>
      </c>
      <c r="B214" s="2">
        <v>46054</v>
      </c>
      <c r="C214" t="s">
        <v>43</v>
      </c>
      <c r="D214" t="s">
        <v>44</v>
      </c>
      <c r="E214" t="s">
        <v>23</v>
      </c>
      <c r="F214" s="3"/>
      <c r="G214" s="3"/>
      <c r="H214" s="3"/>
      <c r="I214" s="3"/>
      <c r="J214" s="3">
        <v>250000</v>
      </c>
      <c r="K214" s="7" t="str" cm="1">
        <f t="array" ref="K214">IF(OR(C214="",B214="",I214=""),"",IFERROR((I214-_xlfn.XLOOKUP(1,(C$2:C$501=C214)*(B$2:B$501&lt;&gt;"")*(B$2:B$501=_xlfn.MAXIFS(B$2:B$501,C$2:C$501,C214,B$2:B$501,"&lt;"&amp;B214))*(I$2:I$501&lt;&gt;""),I$2:I$501))/_xlfn.XLOOKUP(1,(C$2:C$501=C214)*(B$2:B$501&lt;&gt;"")*(B$2:B$501=_xlfn.MAXIFS(B$2:B$501,C$2:C$501,C214,B$2:B$501,"&lt;"&amp;B214))*(I$2:I$501&lt;&gt;""),I$2:I$501),""))</f>
        <v/>
      </c>
    </row>
    <row r="215" spans="1:11">
      <c r="A215" t="s">
        <v>190</v>
      </c>
      <c r="B215" s="2">
        <v>46023</v>
      </c>
      <c r="C215" t="s">
        <v>16</v>
      </c>
      <c r="D215" t="s">
        <v>17</v>
      </c>
      <c r="E215" t="s">
        <v>18</v>
      </c>
      <c r="F215" s="3">
        <v>2500</v>
      </c>
      <c r="G215" s="3">
        <v>2589</v>
      </c>
      <c r="H215" s="3">
        <v>2426</v>
      </c>
      <c r="I215" s="3">
        <v>2523</v>
      </c>
      <c r="J215" s="3">
        <v>500000</v>
      </c>
      <c r="K215" s="7" t="str" cm="1">
        <f t="array" ref="K215">IF(OR(C215="",B215="",I215=""),"",IFERROR((I215-_xlfn.XLOOKUP(1,(C$2:C$501=C215)*(B$2:B$501&lt;&gt;"")*(B$2:B$501=_xlfn.MAXIFS(B$2:B$501,C$2:C$501,C215,B$2:B$501,"&lt;"&amp;B215))*(I$2:I$501&lt;&gt;""),I$2:I$501))/_xlfn.XLOOKUP(1,(C$2:C$501=C215)*(B$2:B$501&lt;&gt;"")*(B$2:B$501=_xlfn.MAXIFS(B$2:B$501,C$2:C$501,C215,B$2:B$501,"&lt;"&amp;B215))*(I$2:I$501&lt;&gt;""),I$2:I$501),""))</f>
        <v/>
      </c>
    </row>
    <row r="216" spans="1:11">
      <c r="A216" t="s">
        <v>190</v>
      </c>
      <c r="B216" s="2">
        <v>46023</v>
      </c>
      <c r="C216" t="s">
        <v>16</v>
      </c>
      <c r="D216" t="s">
        <v>17</v>
      </c>
      <c r="E216" t="s">
        <v>18</v>
      </c>
      <c r="F216" s="3">
        <v>2500</v>
      </c>
      <c r="G216" s="3">
        <v>2576</v>
      </c>
      <c r="H216" s="3">
        <v>2421</v>
      </c>
      <c r="I216" s="3">
        <v>2462</v>
      </c>
      <c r="J216" s="3">
        <v>100000</v>
      </c>
      <c r="K216" s="7" t="str" cm="1">
        <f t="array" ref="K216">IF(OR(C216="",B216="",I216=""),"",IFERROR((I216-_xlfn.XLOOKUP(1,(C$2:C$501=C216)*(B$2:B$501&lt;&gt;"")*(B$2:B$501=_xlfn.MAXIFS(B$2:B$501,C$2:C$501,C216,B$2:B$501,"&lt;"&amp;B216))*(I$2:I$501&lt;&gt;""),I$2:I$501))/_xlfn.XLOOKUP(1,(C$2:C$501=C216)*(B$2:B$501&lt;&gt;"")*(B$2:B$501=_xlfn.MAXIFS(B$2:B$501,C$2:C$501,C216,B$2:B$501,"&lt;"&amp;B216))*(I$2:I$501&lt;&gt;""),I$2:I$501),""))</f>
        <v/>
      </c>
    </row>
    <row r="217" spans="1:11">
      <c r="A217" t="s">
        <v>191</v>
      </c>
      <c r="C217" t="s">
        <v>43</v>
      </c>
      <c r="D217" t="s">
        <v>44</v>
      </c>
      <c r="E217" t="s">
        <v>23</v>
      </c>
      <c r="F217" s="3"/>
      <c r="G217" s="3"/>
      <c r="H217" s="3"/>
      <c r="I217" s="3"/>
      <c r="J217" s="3">
        <v>500000</v>
      </c>
      <c r="K217" s="7" t="str" cm="1">
        <f t="array" ref="K217">IF(OR(C217="",B217="",I217=""),"",IFERROR((I217-_xlfn.XLOOKUP(1,(C$2:C$501=C217)*(B$2:B$501&lt;&gt;"")*(B$2:B$501=_xlfn.MAXIFS(B$2:B$501,C$2:C$501,C217,B$2:B$501,"&lt;"&amp;B217))*(I$2:I$501&lt;&gt;""),I$2:I$501))/_xlfn.XLOOKUP(1,(C$2:C$501=C217)*(B$2:B$501&lt;&gt;"")*(B$2:B$501=_xlfn.MAXIFS(B$2:B$501,C$2:C$501,C217,B$2:B$501,"&lt;"&amp;B217))*(I$2:I$501&lt;&gt;""),I$2:I$501),""))</f>
        <v/>
      </c>
    </row>
    <row r="218" spans="1:11">
      <c r="A218" t="s">
        <v>191</v>
      </c>
      <c r="B218" s="2">
        <v>46082</v>
      </c>
      <c r="C218" t="s">
        <v>26</v>
      </c>
      <c r="D218" t="s">
        <v>27</v>
      </c>
      <c r="E218" t="s">
        <v>28</v>
      </c>
      <c r="F218" s="3"/>
      <c r="G218" s="3"/>
      <c r="H218" s="3"/>
      <c r="I218" s="3"/>
      <c r="J218" s="3">
        <v>250000</v>
      </c>
      <c r="K218" s="7" t="str" cm="1">
        <f t="array" ref="K218">IF(OR(C218="",B218="",I218=""),"",IFERROR((I218-_xlfn.XLOOKUP(1,(C$2:C$501=C218)*(B$2:B$501&lt;&gt;"")*(B$2:B$501=_xlfn.MAXIFS(B$2:B$501,C$2:C$501,C218,B$2:B$501,"&lt;"&amp;B218))*(I$2:I$501&lt;&gt;""),I$2:I$501))/_xlfn.XLOOKUP(1,(C$2:C$501=C218)*(B$2:B$501&lt;&gt;"")*(B$2:B$501=_xlfn.MAXIFS(B$2:B$501,C$2:C$501,C218,B$2:B$501,"&lt;"&amp;B218))*(I$2:I$501&lt;&gt;""),I$2:I$501),""))</f>
        <v/>
      </c>
    </row>
    <row r="219" spans="1:11">
      <c r="A219" t="s">
        <v>192</v>
      </c>
      <c r="B219" s="2">
        <v>46054</v>
      </c>
      <c r="C219" t="s">
        <v>43</v>
      </c>
      <c r="D219" t="s">
        <v>44</v>
      </c>
      <c r="E219" t="s">
        <v>23</v>
      </c>
      <c r="F219" s="3">
        <v>2500</v>
      </c>
      <c r="G219" s="3">
        <v>2595</v>
      </c>
      <c r="H219" s="3">
        <v>2451</v>
      </c>
      <c r="I219" s="3">
        <v>2466</v>
      </c>
      <c r="J219" s="3">
        <v>500000</v>
      </c>
      <c r="K219" s="7" cm="1">
        <f t="array" ref="K219">IF(OR(C219="",B219="",I219=""),"",IFERROR((I219-_xlfn.XLOOKUP(1,(C$2:C$501=C219)*(B$2:B$501&lt;&gt;"")*(B$2:B$501=_xlfn.MAXIFS(B$2:B$501,C$2:C$501,C219,B$2:B$501,"&lt;"&amp;B219))*(I$2:I$501&lt;&gt;""),I$2:I$501))/_xlfn.XLOOKUP(1,(C$2:C$501=C219)*(B$2:B$501&lt;&gt;"")*(B$2:B$501=_xlfn.MAXIFS(B$2:B$501,C$2:C$501,C219,B$2:B$501,"&lt;"&amp;B219))*(I$2:I$501&lt;&gt;""),I$2:I$501),""))</f>
        <v>-7.6458752515090539E-3</v>
      </c>
    </row>
    <row r="220" spans="1:11">
      <c r="A220" t="s">
        <v>193</v>
      </c>
      <c r="B220" s="2">
        <v>46023</v>
      </c>
      <c r="C220" t="s">
        <v>22</v>
      </c>
      <c r="D220" t="s">
        <v>22</v>
      </c>
      <c r="E220" t="s">
        <v>23</v>
      </c>
      <c r="F220" s="3">
        <v>1000</v>
      </c>
      <c r="G220" s="3">
        <v>1037</v>
      </c>
      <c r="H220" s="3">
        <v>975</v>
      </c>
      <c r="I220" s="3">
        <v>1047</v>
      </c>
      <c r="J220" s="3">
        <v>250000</v>
      </c>
      <c r="K220" s="7" t="str" cm="1">
        <f t="array" ref="K220">IF(OR(C220="",B220="",I220=""),"",IFERROR((I220-_xlfn.XLOOKUP(1,(C$2:C$501=C220)*(B$2:B$501&lt;&gt;"")*(B$2:B$501=_xlfn.MAXIFS(B$2:B$501,C$2:C$501,C220,B$2:B$501,"&lt;"&amp;B220))*(I$2:I$501&lt;&gt;""),I$2:I$501))/_xlfn.XLOOKUP(1,(C$2:C$501=C220)*(B$2:B$501&lt;&gt;"")*(B$2:B$501=_xlfn.MAXIFS(B$2:B$501,C$2:C$501,C220,B$2:B$501,"&lt;"&amp;B220))*(I$2:I$501&lt;&gt;""),I$2:I$501),""))</f>
        <v/>
      </c>
    </row>
    <row r="221" spans="1:11">
      <c r="A221" t="s">
        <v>193</v>
      </c>
      <c r="B221" s="2">
        <v>46082</v>
      </c>
      <c r="C221" t="s">
        <v>16</v>
      </c>
      <c r="D221" t="s">
        <v>17</v>
      </c>
      <c r="E221" t="s">
        <v>18</v>
      </c>
      <c r="F221" s="3">
        <v>1000</v>
      </c>
      <c r="G221" s="3">
        <v>1055</v>
      </c>
      <c r="H221" s="3">
        <v>935</v>
      </c>
      <c r="I221" s="3">
        <v>1033</v>
      </c>
      <c r="J221" s="3">
        <v>500000</v>
      </c>
      <c r="K221" s="7" cm="1">
        <f t="array" ref="K221">IF(OR(C221="",B221="",I221=""),"",IFERROR((I221-_xlfn.XLOOKUP(1,(C$2:C$501=C221)*(B$2:B$501&lt;&gt;"")*(B$2:B$501=_xlfn.MAXIFS(B$2:B$501,C$2:C$501,C221,B$2:B$501,"&lt;"&amp;B221))*(I$2:I$501&lt;&gt;""),I$2:I$501))/_xlfn.XLOOKUP(1,(C$2:C$501=C221)*(B$2:B$501&lt;&gt;"")*(B$2:B$501=_xlfn.MAXIFS(B$2:B$501,C$2:C$501,C221,B$2:B$501,"&lt;"&amp;B221))*(I$2:I$501&lt;&gt;""),I$2:I$501),""))</f>
        <v>-0.70239124171708445</v>
      </c>
    </row>
    <row r="222" spans="1:11">
      <c r="A222" t="s">
        <v>194</v>
      </c>
      <c r="B222" s="2">
        <v>46054</v>
      </c>
      <c r="C222" t="s">
        <v>16</v>
      </c>
      <c r="D222" t="s">
        <v>17</v>
      </c>
      <c r="E222" t="s">
        <v>18</v>
      </c>
      <c r="F222" s="3">
        <v>3500</v>
      </c>
      <c r="G222" s="3">
        <v>3572</v>
      </c>
      <c r="H222" s="3">
        <v>3454</v>
      </c>
      <c r="I222" s="3">
        <v>3471</v>
      </c>
      <c r="J222" s="3">
        <v>250000</v>
      </c>
      <c r="K222" s="7" cm="1">
        <f t="array" ref="K222">IF(OR(C222="",B222="",I222=""),"",IFERROR((I222-_xlfn.XLOOKUP(1,(C$2:C$501=C222)*(B$2:B$501&lt;&gt;"")*(B$2:B$501=_xlfn.MAXIFS(B$2:B$501,C$2:C$501,C222,B$2:B$501,"&lt;"&amp;B222))*(I$2:I$501&lt;&gt;""),I$2:I$501))/_xlfn.XLOOKUP(1,(C$2:C$501=C222)*(B$2:B$501&lt;&gt;"")*(B$2:B$501=_xlfn.MAXIFS(B$2:B$501,C$2:C$501,C222,B$2:B$501,"&lt;"&amp;B222))*(I$2:I$501&lt;&gt;""),I$2:I$501),""))</f>
        <v>0.40016135538523601</v>
      </c>
    </row>
    <row r="223" spans="1:11">
      <c r="A223" t="s">
        <v>195</v>
      </c>
      <c r="B223" s="2">
        <v>46082</v>
      </c>
      <c r="C223" t="s">
        <v>12</v>
      </c>
      <c r="D223" t="s">
        <v>13</v>
      </c>
      <c r="E223" t="s">
        <v>37</v>
      </c>
      <c r="F223" s="3">
        <v>1000</v>
      </c>
      <c r="G223" s="3">
        <v>1054</v>
      </c>
      <c r="H223" s="3">
        <v>922</v>
      </c>
      <c r="I223" s="3">
        <v>1011</v>
      </c>
      <c r="J223" s="3"/>
      <c r="K223" s="7" cm="1">
        <f t="array" ref="K223">IF(OR(C223="",B223="",I223=""),"",IFERROR((I223-_xlfn.XLOOKUP(1,(C$2:C$501=C223)*(B$2:B$501&lt;&gt;"")*(B$2:B$501=_xlfn.MAXIFS(B$2:B$501,C$2:C$501,C223,B$2:B$501,"&lt;"&amp;B223))*(I$2:I$501&lt;&gt;""),I$2:I$501))/_xlfn.XLOOKUP(1,(C$2:C$501=C223)*(B$2:B$501&lt;&gt;"")*(B$2:B$501=_xlfn.MAXIFS(B$2:B$501,C$2:C$501,C223,B$2:B$501,"&lt;"&amp;B223))*(I$2:I$501&lt;&gt;""),I$2:I$501),""))</f>
        <v>-0.5908539053014974</v>
      </c>
    </row>
    <row r="224" spans="1:11">
      <c r="A224" t="s">
        <v>195</v>
      </c>
      <c r="C224" t="s">
        <v>26</v>
      </c>
      <c r="D224" t="s">
        <v>27</v>
      </c>
      <c r="E224" t="s">
        <v>28</v>
      </c>
      <c r="F224" s="3"/>
      <c r="G224" s="3"/>
      <c r="H224" s="3"/>
      <c r="I224" s="3"/>
      <c r="J224" s="3">
        <v>250000</v>
      </c>
      <c r="K224" s="7" t="str" cm="1">
        <f t="array" ref="K224">IF(OR(C224="",B224="",I224=""),"",IFERROR((I224-_xlfn.XLOOKUP(1,(C$2:C$501=C224)*(B$2:B$501&lt;&gt;"")*(B$2:B$501=_xlfn.MAXIFS(B$2:B$501,C$2:C$501,C224,B$2:B$501,"&lt;"&amp;B224))*(I$2:I$501&lt;&gt;""),I$2:I$501))/_xlfn.XLOOKUP(1,(C$2:C$501=C224)*(B$2:B$501&lt;&gt;"")*(B$2:B$501=_xlfn.MAXIFS(B$2:B$501,C$2:C$501,C224,B$2:B$501,"&lt;"&amp;B224))*(I$2:I$501&lt;&gt;""),I$2:I$501),""))</f>
        <v/>
      </c>
    </row>
    <row r="225" spans="1:11">
      <c r="A225" t="s">
        <v>196</v>
      </c>
      <c r="B225" s="2">
        <v>46054</v>
      </c>
      <c r="C225" t="s">
        <v>43</v>
      </c>
      <c r="D225" t="s">
        <v>44</v>
      </c>
      <c r="E225" t="s">
        <v>23</v>
      </c>
      <c r="F225" s="3">
        <v>3500</v>
      </c>
      <c r="G225" s="3">
        <v>3517</v>
      </c>
      <c r="H225" s="3">
        <v>3462</v>
      </c>
      <c r="I225" s="3">
        <v>3491</v>
      </c>
      <c r="J225" s="3">
        <v>500000</v>
      </c>
      <c r="K225" s="7" cm="1">
        <f t="array" ref="K225">IF(OR(C225="",B225="",I225=""),"",IFERROR((I225-_xlfn.XLOOKUP(1,(C$2:C$501=C225)*(B$2:B$501&lt;&gt;"")*(B$2:B$501=_xlfn.MAXIFS(B$2:B$501,C$2:C$501,C225,B$2:B$501,"&lt;"&amp;B225))*(I$2:I$501&lt;&gt;""),I$2:I$501))/_xlfn.XLOOKUP(1,(C$2:C$501=C225)*(B$2:B$501&lt;&gt;"")*(B$2:B$501=_xlfn.MAXIFS(B$2:B$501,C$2:C$501,C225,B$2:B$501,"&lt;"&amp;B225))*(I$2:I$501&lt;&gt;""),I$2:I$501),""))</f>
        <v>0.40482897384305833</v>
      </c>
    </row>
    <row r="226" spans="1:11">
      <c r="A226" t="s">
        <v>197</v>
      </c>
      <c r="B226" s="2">
        <v>46023</v>
      </c>
      <c r="C226" t="s">
        <v>26</v>
      </c>
      <c r="D226" t="s">
        <v>27</v>
      </c>
      <c r="E226" t="s">
        <v>28</v>
      </c>
      <c r="F226" s="3">
        <v>1000</v>
      </c>
      <c r="G226" s="3">
        <v>1036</v>
      </c>
      <c r="H226" s="3">
        <v>932</v>
      </c>
      <c r="I226" s="3">
        <v>953</v>
      </c>
      <c r="J226" s="3"/>
      <c r="K226" s="7" t="str" cm="1">
        <f t="array" ref="K226">IF(OR(C226="",B226="",I226=""),"",IFERROR((I226-_xlfn.XLOOKUP(1,(C$2:C$501=C226)*(B$2:B$501&lt;&gt;"")*(B$2:B$501=_xlfn.MAXIFS(B$2:B$501,C$2:C$501,C226,B$2:B$501,"&lt;"&amp;B226))*(I$2:I$501&lt;&gt;""),I$2:I$501))/_xlfn.XLOOKUP(1,(C$2:C$501=C226)*(B$2:B$501&lt;&gt;"")*(B$2:B$501=_xlfn.MAXIFS(B$2:B$501,C$2:C$501,C226,B$2:B$501,"&lt;"&amp;B226))*(I$2:I$501&lt;&gt;""),I$2:I$501),""))</f>
        <v/>
      </c>
    </row>
    <row r="227" spans="1:11">
      <c r="A227" t="s">
        <v>197</v>
      </c>
      <c r="B227" s="2">
        <v>46082</v>
      </c>
      <c r="C227" t="s">
        <v>16</v>
      </c>
      <c r="D227" t="s">
        <v>17</v>
      </c>
      <c r="E227" t="s">
        <v>18</v>
      </c>
      <c r="F227" s="3">
        <v>3500</v>
      </c>
      <c r="G227" s="3">
        <v>3565</v>
      </c>
      <c r="H227" s="3">
        <v>3452</v>
      </c>
      <c r="I227" s="3">
        <v>3529</v>
      </c>
      <c r="J227" s="3">
        <v>250000</v>
      </c>
      <c r="K227" s="7" cm="1">
        <f t="array" ref="K227">IF(OR(C227="",B227="",I227=""),"",IFERROR((I227-_xlfn.XLOOKUP(1,(C$2:C$501=C227)*(B$2:B$501&lt;&gt;"")*(B$2:B$501=_xlfn.MAXIFS(B$2:B$501,C$2:C$501,C227,B$2:B$501,"&lt;"&amp;B227))*(I$2:I$501&lt;&gt;""),I$2:I$501))/_xlfn.XLOOKUP(1,(C$2:C$501=C227)*(B$2:B$501&lt;&gt;"")*(B$2:B$501=_xlfn.MAXIFS(B$2:B$501,C$2:C$501,C227,B$2:B$501,"&lt;"&amp;B227))*(I$2:I$501&lt;&gt;""),I$2:I$501),""))</f>
        <v>1.6709881878421203E-2</v>
      </c>
    </row>
    <row r="228" spans="1:11">
      <c r="A228" t="s">
        <v>198</v>
      </c>
      <c r="B228" s="2">
        <v>46023</v>
      </c>
      <c r="C228" t="s">
        <v>43</v>
      </c>
      <c r="D228" t="s">
        <v>44</v>
      </c>
      <c r="E228" t="s">
        <v>23</v>
      </c>
      <c r="F228" s="3">
        <v>3500</v>
      </c>
      <c r="G228" s="3">
        <v>3574</v>
      </c>
      <c r="H228" s="3">
        <v>3488</v>
      </c>
      <c r="I228" s="3">
        <v>3483</v>
      </c>
      <c r="J228" s="3">
        <v>500000</v>
      </c>
      <c r="K228" s="7" t="str" cm="1">
        <f t="array" ref="K228">IF(OR(C228="",B228="",I228=""),"",IFERROR((I228-_xlfn.XLOOKUP(1,(C$2:C$501=C228)*(B$2:B$501&lt;&gt;"")*(B$2:B$501=_xlfn.MAXIFS(B$2:B$501,C$2:C$501,C228,B$2:B$501,"&lt;"&amp;B228))*(I$2:I$501&lt;&gt;""),I$2:I$501))/_xlfn.XLOOKUP(1,(C$2:C$501=C228)*(B$2:B$501&lt;&gt;"")*(B$2:B$501=_xlfn.MAXIFS(B$2:B$501,C$2:C$501,C228,B$2:B$501,"&lt;"&amp;B228))*(I$2:I$501&lt;&gt;""),I$2:I$501),""))</f>
        <v/>
      </c>
    </row>
    <row r="229" spans="1:11">
      <c r="A229" t="s">
        <v>199</v>
      </c>
      <c r="C229" t="s">
        <v>16</v>
      </c>
      <c r="D229" t="s">
        <v>17</v>
      </c>
      <c r="E229" t="s">
        <v>18</v>
      </c>
      <c r="F229" s="3"/>
      <c r="G229" s="3"/>
      <c r="H229" s="3"/>
      <c r="I229" s="3"/>
      <c r="J229" s="3">
        <v>500000</v>
      </c>
      <c r="K229" s="7" t="str" cm="1">
        <f t="array" ref="K229">IF(OR(C229="",B229="",I229=""),"",IFERROR((I229-_xlfn.XLOOKUP(1,(C$2:C$501=C229)*(B$2:B$501&lt;&gt;"")*(B$2:B$501=_xlfn.MAXIFS(B$2:B$501,C$2:C$501,C229,B$2:B$501,"&lt;"&amp;B229))*(I$2:I$501&lt;&gt;""),I$2:I$501))/_xlfn.XLOOKUP(1,(C$2:C$501=C229)*(B$2:B$501&lt;&gt;"")*(B$2:B$501=_xlfn.MAXIFS(B$2:B$501,C$2:C$501,C229,B$2:B$501,"&lt;"&amp;B229))*(I$2:I$501&lt;&gt;""),I$2:I$501),""))</f>
        <v/>
      </c>
    </row>
    <row r="230" spans="1:11">
      <c r="A230" t="s">
        <v>200</v>
      </c>
      <c r="B230" s="2">
        <v>46082</v>
      </c>
      <c r="C230" t="s">
        <v>12</v>
      </c>
      <c r="D230" t="s">
        <v>13</v>
      </c>
      <c r="E230" t="s">
        <v>37</v>
      </c>
      <c r="F230" s="3">
        <v>2500</v>
      </c>
      <c r="G230" s="3">
        <v>2568</v>
      </c>
      <c r="H230" s="3">
        <v>2459</v>
      </c>
      <c r="I230" s="3">
        <v>2461</v>
      </c>
      <c r="J230" s="3">
        <v>500000</v>
      </c>
      <c r="K230" s="7" cm="1">
        <f t="array" ref="K230">IF(OR(C230="",B230="",I230=""),"",IFERROR((I230-_xlfn.XLOOKUP(1,(C$2:C$501=C230)*(B$2:B$501&lt;&gt;"")*(B$2:B$501=_xlfn.MAXIFS(B$2:B$501,C$2:C$501,C230,B$2:B$501,"&lt;"&amp;B230))*(I$2:I$501&lt;&gt;""),I$2:I$501))/_xlfn.XLOOKUP(1,(C$2:C$501=C230)*(B$2:B$501&lt;&gt;"")*(B$2:B$501=_xlfn.MAXIFS(B$2:B$501,C$2:C$501,C230,B$2:B$501,"&lt;"&amp;B230))*(I$2:I$501&lt;&gt;""),I$2:I$501),""))</f>
        <v>-4.0469445568595708E-3</v>
      </c>
    </row>
    <row r="231" spans="1:11">
      <c r="A231" t="s">
        <v>201</v>
      </c>
      <c r="B231" s="2">
        <v>46082</v>
      </c>
      <c r="C231" t="s">
        <v>16</v>
      </c>
      <c r="D231" t="s">
        <v>17</v>
      </c>
      <c r="E231" t="s">
        <v>18</v>
      </c>
      <c r="F231" s="3">
        <v>3500</v>
      </c>
      <c r="G231" s="3">
        <v>3551</v>
      </c>
      <c r="H231" s="3">
        <v>3445</v>
      </c>
      <c r="I231" s="3">
        <v>3497</v>
      </c>
      <c r="J231" s="3">
        <v>250000</v>
      </c>
      <c r="K231" s="7" cm="1">
        <f t="array" ref="K231">IF(OR(C231="",B231="",I231=""),"",IFERROR((I231-_xlfn.XLOOKUP(1,(C$2:C$501=C231)*(B$2:B$501&lt;&gt;"")*(B$2:B$501=_xlfn.MAXIFS(B$2:B$501,C$2:C$501,C231,B$2:B$501,"&lt;"&amp;B231))*(I$2:I$501&lt;&gt;""),I$2:I$501))/_xlfn.XLOOKUP(1,(C$2:C$501=C231)*(B$2:B$501&lt;&gt;"")*(B$2:B$501=_xlfn.MAXIFS(B$2:B$501,C$2:C$501,C231,B$2:B$501,"&lt;"&amp;B231))*(I$2:I$501&lt;&gt;""),I$2:I$501),""))</f>
        <v>7.4906367041198503E-3</v>
      </c>
    </row>
    <row r="232" spans="1:11">
      <c r="A232" t="s">
        <v>201</v>
      </c>
      <c r="B232" s="2">
        <v>46054</v>
      </c>
      <c r="C232" t="s">
        <v>43</v>
      </c>
      <c r="D232" t="s">
        <v>44</v>
      </c>
      <c r="E232" t="s">
        <v>23</v>
      </c>
      <c r="F232" s="3">
        <v>3500</v>
      </c>
      <c r="G232" s="3">
        <v>3520</v>
      </c>
      <c r="H232" s="3">
        <v>3430</v>
      </c>
      <c r="I232" s="3">
        <v>3483</v>
      </c>
      <c r="J232" s="3"/>
      <c r="K232" s="7" cm="1">
        <f t="array" ref="K232">IF(OR(C232="",B232="",I232=""),"",IFERROR((I232-_xlfn.XLOOKUP(1,(C$2:C$501=C232)*(B$2:B$501&lt;&gt;"")*(B$2:B$501=_xlfn.MAXIFS(B$2:B$501,C$2:C$501,C232,B$2:B$501,"&lt;"&amp;B232))*(I$2:I$501&lt;&gt;""),I$2:I$501))/_xlfn.XLOOKUP(1,(C$2:C$501=C232)*(B$2:B$501&lt;&gt;"")*(B$2:B$501=_xlfn.MAXIFS(B$2:B$501,C$2:C$501,C232,B$2:B$501,"&lt;"&amp;B232))*(I$2:I$501&lt;&gt;""),I$2:I$501),""))</f>
        <v>0.40160965794768611</v>
      </c>
    </row>
    <row r="233" spans="1:11">
      <c r="A233" t="s">
        <v>202</v>
      </c>
      <c r="B233" s="2">
        <v>46082</v>
      </c>
      <c r="C233" t="s">
        <v>26</v>
      </c>
      <c r="D233" t="s">
        <v>27</v>
      </c>
      <c r="E233" t="s">
        <v>28</v>
      </c>
      <c r="F233" s="3"/>
      <c r="G233" s="3"/>
      <c r="H233" s="3"/>
      <c r="I233" s="3"/>
      <c r="J233" s="3">
        <v>250000</v>
      </c>
      <c r="K233" s="7" t="str" cm="1">
        <f t="array" ref="K233">IF(OR(C233="",B233="",I233=""),"",IFERROR((I233-_xlfn.XLOOKUP(1,(C$2:C$501=C233)*(B$2:B$501&lt;&gt;"")*(B$2:B$501=_xlfn.MAXIFS(B$2:B$501,C$2:C$501,C233,B$2:B$501,"&lt;"&amp;B233))*(I$2:I$501&lt;&gt;""),I$2:I$501))/_xlfn.XLOOKUP(1,(C$2:C$501=C233)*(B$2:B$501&lt;&gt;"")*(B$2:B$501=_xlfn.MAXIFS(B$2:B$501,C$2:C$501,C233,B$2:B$501,"&lt;"&amp;B233))*(I$2:I$501&lt;&gt;""),I$2:I$501),""))</f>
        <v/>
      </c>
    </row>
    <row r="234" spans="1:11">
      <c r="A234" t="s">
        <v>203</v>
      </c>
      <c r="B234" s="2">
        <v>46082</v>
      </c>
      <c r="C234" t="s">
        <v>22</v>
      </c>
      <c r="D234" t="s">
        <v>22</v>
      </c>
      <c r="E234" t="s">
        <v>23</v>
      </c>
      <c r="F234" s="3">
        <v>3500</v>
      </c>
      <c r="G234" s="3">
        <v>3578</v>
      </c>
      <c r="H234" s="3">
        <v>3425</v>
      </c>
      <c r="I234" s="3">
        <v>3463</v>
      </c>
      <c r="J234" s="3">
        <v>250000</v>
      </c>
      <c r="K234" s="7" cm="1">
        <f t="array" ref="K234">IF(OR(C234="",B234="",I234=""),"",IFERROR((I234-_xlfn.XLOOKUP(1,(C$2:C$501=C234)*(B$2:B$501&lt;&gt;"")*(B$2:B$501=_xlfn.MAXIFS(B$2:B$501,C$2:C$501,C234,B$2:B$501,"&lt;"&amp;B234))*(I$2:I$501&lt;&gt;""),I$2:I$501))/_xlfn.XLOOKUP(1,(C$2:C$501=C234)*(B$2:B$501&lt;&gt;"")*(B$2:B$501=_xlfn.MAXIFS(B$2:B$501,C$2:C$501,C234,B$2:B$501,"&lt;"&amp;B234))*(I$2:I$501&lt;&gt;""),I$2:I$501),""))</f>
        <v>-1.7867271695972773E-2</v>
      </c>
    </row>
    <row r="235" spans="1:11">
      <c r="A235" t="s">
        <v>203</v>
      </c>
      <c r="C235" t="s">
        <v>12</v>
      </c>
      <c r="D235" t="s">
        <v>13</v>
      </c>
      <c r="E235" t="s">
        <v>37</v>
      </c>
      <c r="F235" s="3">
        <v>2500</v>
      </c>
      <c r="G235" s="3">
        <v>2579</v>
      </c>
      <c r="H235" s="3">
        <v>2426</v>
      </c>
      <c r="I235" s="3">
        <v>2550</v>
      </c>
      <c r="J235" s="3">
        <v>100000</v>
      </c>
      <c r="K235" s="7" t="str" cm="1">
        <f t="array" ref="K235">IF(OR(C235="",B235="",I235=""),"",IFERROR((I235-_xlfn.XLOOKUP(1,(C$2:C$501=C235)*(B$2:B$501&lt;&gt;"")*(B$2:B$501=_xlfn.MAXIFS(B$2:B$501,C$2:C$501,C235,B$2:B$501,"&lt;"&amp;B235))*(I$2:I$501&lt;&gt;""),I$2:I$501))/_xlfn.XLOOKUP(1,(C$2:C$501=C235)*(B$2:B$501&lt;&gt;"")*(B$2:B$501=_xlfn.MAXIFS(B$2:B$501,C$2:C$501,C235,B$2:B$501,"&lt;"&amp;B235))*(I$2:I$501&lt;&gt;""),I$2:I$501),""))</f>
        <v/>
      </c>
    </row>
    <row r="236" spans="1:11">
      <c r="A236" t="s">
        <v>204</v>
      </c>
      <c r="C236" t="s">
        <v>12</v>
      </c>
      <c r="D236" t="s">
        <v>13</v>
      </c>
      <c r="E236" t="s">
        <v>37</v>
      </c>
      <c r="F236" s="3">
        <v>1000</v>
      </c>
      <c r="G236" s="3">
        <v>1027</v>
      </c>
      <c r="H236" s="3">
        <v>944</v>
      </c>
      <c r="I236" s="3">
        <v>1049</v>
      </c>
      <c r="J236" s="3">
        <v>250000</v>
      </c>
      <c r="K236" s="7" t="str" cm="1">
        <f t="array" ref="K236">IF(OR(C236="",B236="",I236=""),"",IFERROR((I236-_xlfn.XLOOKUP(1,(C$2:C$501=C236)*(B$2:B$501&lt;&gt;"")*(B$2:B$501=_xlfn.MAXIFS(B$2:B$501,C$2:C$501,C236,B$2:B$501,"&lt;"&amp;B236))*(I$2:I$501&lt;&gt;""),I$2:I$501))/_xlfn.XLOOKUP(1,(C$2:C$501=C236)*(B$2:B$501&lt;&gt;"")*(B$2:B$501=_xlfn.MAXIFS(B$2:B$501,C$2:C$501,C236,B$2:B$501,"&lt;"&amp;B236))*(I$2:I$501&lt;&gt;""),I$2:I$501),""))</f>
        <v/>
      </c>
    </row>
    <row r="237" spans="1:11">
      <c r="A237" t="s">
        <v>205</v>
      </c>
      <c r="B237" s="2">
        <v>46082</v>
      </c>
      <c r="C237" t="s">
        <v>16</v>
      </c>
      <c r="D237" t="s">
        <v>17</v>
      </c>
      <c r="E237" t="s">
        <v>18</v>
      </c>
      <c r="F237" s="3"/>
      <c r="G237" s="3"/>
      <c r="H237" s="3"/>
      <c r="I237" s="3"/>
      <c r="J237" s="3">
        <v>250000</v>
      </c>
      <c r="K237" s="7" t="str" cm="1">
        <f t="array" ref="K237">IF(OR(C237="",B237="",I237=""),"",IFERROR((I237-_xlfn.XLOOKUP(1,(C$2:C$501=C237)*(B$2:B$501&lt;&gt;"")*(B$2:B$501=_xlfn.MAXIFS(B$2:B$501,C$2:C$501,C237,B$2:B$501,"&lt;"&amp;B237))*(I$2:I$501&lt;&gt;""),I$2:I$501))/_xlfn.XLOOKUP(1,(C$2:C$501=C237)*(B$2:B$501&lt;&gt;"")*(B$2:B$501=_xlfn.MAXIFS(B$2:B$501,C$2:C$501,C237,B$2:B$501,"&lt;"&amp;B237))*(I$2:I$501&lt;&gt;""),I$2:I$501),""))</f>
        <v/>
      </c>
    </row>
    <row r="238" spans="1:11">
      <c r="A238" t="s">
        <v>206</v>
      </c>
      <c r="C238" t="s">
        <v>22</v>
      </c>
      <c r="D238" t="s">
        <v>22</v>
      </c>
      <c r="E238" t="s">
        <v>23</v>
      </c>
      <c r="F238" s="3">
        <v>1000</v>
      </c>
      <c r="G238" s="3">
        <v>1019</v>
      </c>
      <c r="H238" s="3">
        <v>955</v>
      </c>
      <c r="I238" s="3">
        <v>997</v>
      </c>
      <c r="J238" s="3">
        <v>250000</v>
      </c>
      <c r="K238" s="7" t="str" cm="1">
        <f t="array" ref="K238">IF(OR(C238="",B238="",I238=""),"",IFERROR((I238-_xlfn.XLOOKUP(1,(C$2:C$501=C238)*(B$2:B$501&lt;&gt;"")*(B$2:B$501=_xlfn.MAXIFS(B$2:B$501,C$2:C$501,C238,B$2:B$501,"&lt;"&amp;B238))*(I$2:I$501&lt;&gt;""),I$2:I$501))/_xlfn.XLOOKUP(1,(C$2:C$501=C238)*(B$2:B$501&lt;&gt;"")*(B$2:B$501=_xlfn.MAXIFS(B$2:B$501,C$2:C$501,C238,B$2:B$501,"&lt;"&amp;B238))*(I$2:I$501&lt;&gt;""),I$2:I$501),""))</f>
        <v/>
      </c>
    </row>
    <row r="239" spans="1:11">
      <c r="A239" t="s">
        <v>206</v>
      </c>
      <c r="B239" s="2">
        <v>46054</v>
      </c>
      <c r="C239" t="s">
        <v>22</v>
      </c>
      <c r="D239" t="s">
        <v>22</v>
      </c>
      <c r="E239" t="s">
        <v>23</v>
      </c>
      <c r="F239" s="3">
        <v>1000</v>
      </c>
      <c r="G239" s="3">
        <v>1044</v>
      </c>
      <c r="H239" s="3">
        <v>969</v>
      </c>
      <c r="I239" s="3">
        <v>958</v>
      </c>
      <c r="J239" s="3">
        <v>100000</v>
      </c>
      <c r="K239" s="7" cm="1">
        <f t="array" ref="K239">IF(OR(C239="",B239="",I239=""),"",IFERROR((I239-_xlfn.XLOOKUP(1,(C$2:C$501=C239)*(B$2:B$501&lt;&gt;"")*(B$2:B$501=_xlfn.MAXIFS(B$2:B$501,C$2:C$501,C239,B$2:B$501,"&lt;"&amp;B239))*(I$2:I$501&lt;&gt;""),I$2:I$501))/_xlfn.XLOOKUP(1,(C$2:C$501=C239)*(B$2:B$501&lt;&gt;"")*(B$2:B$501=_xlfn.MAXIFS(B$2:B$501,C$2:C$501,C239,B$2:B$501,"&lt;"&amp;B239))*(I$2:I$501&lt;&gt;""),I$2:I$501),""))</f>
        <v>-2.1450459652706845E-2</v>
      </c>
    </row>
    <row r="240" spans="1:11">
      <c r="A240" t="s">
        <v>207</v>
      </c>
      <c r="C240" t="s">
        <v>12</v>
      </c>
      <c r="D240" t="s">
        <v>13</v>
      </c>
      <c r="E240" t="s">
        <v>37</v>
      </c>
      <c r="F240" s="3">
        <v>2500</v>
      </c>
      <c r="G240" s="3">
        <v>2577</v>
      </c>
      <c r="H240" s="3">
        <v>2426</v>
      </c>
      <c r="I240" s="3">
        <v>2527</v>
      </c>
      <c r="J240" s="3">
        <v>250000</v>
      </c>
      <c r="K240" s="7" t="str" cm="1">
        <f t="array" ref="K240">IF(OR(C240="",B240="",I240=""),"",IFERROR((I240-_xlfn.XLOOKUP(1,(C$2:C$501=C240)*(B$2:B$501&lt;&gt;"")*(B$2:B$501=_xlfn.MAXIFS(B$2:B$501,C$2:C$501,C240,B$2:B$501,"&lt;"&amp;B240))*(I$2:I$501&lt;&gt;""),I$2:I$501))/_xlfn.XLOOKUP(1,(C$2:C$501=C240)*(B$2:B$501&lt;&gt;"")*(B$2:B$501=_xlfn.MAXIFS(B$2:B$501,C$2:C$501,C240,B$2:B$501,"&lt;"&amp;B240))*(I$2:I$501&lt;&gt;""),I$2:I$501),""))</f>
        <v/>
      </c>
    </row>
    <row r="241" spans="1:11">
      <c r="A241" t="s">
        <v>208</v>
      </c>
      <c r="B241" s="2">
        <v>46023</v>
      </c>
      <c r="C241" t="s">
        <v>12</v>
      </c>
      <c r="D241" t="s">
        <v>13</v>
      </c>
      <c r="E241" t="s">
        <v>37</v>
      </c>
      <c r="F241" s="3">
        <v>3500</v>
      </c>
      <c r="G241" s="3">
        <v>3544</v>
      </c>
      <c r="H241" s="3">
        <v>3442</v>
      </c>
      <c r="I241" s="3">
        <v>3465</v>
      </c>
      <c r="J241" s="3">
        <v>500000</v>
      </c>
      <c r="K241" s="7" t="str" cm="1">
        <f t="array" ref="K241">IF(OR(C241="",B241="",I241=""),"",IFERROR((I241-_xlfn.XLOOKUP(1,(C$2:C$501=C241)*(B$2:B$501&lt;&gt;"")*(B$2:B$501=_xlfn.MAXIFS(B$2:B$501,C$2:C$501,C241,B$2:B$501,"&lt;"&amp;B241))*(I$2:I$501&lt;&gt;""),I$2:I$501))/_xlfn.XLOOKUP(1,(C$2:C$501=C241)*(B$2:B$501&lt;&gt;"")*(B$2:B$501=_xlfn.MAXIFS(B$2:B$501,C$2:C$501,C241,B$2:B$501,"&lt;"&amp;B241))*(I$2:I$501&lt;&gt;""),I$2:I$501),""))</f>
        <v/>
      </c>
    </row>
    <row r="242" spans="1:11">
      <c r="A242" t="s">
        <v>209</v>
      </c>
      <c r="B242" s="2">
        <v>46082</v>
      </c>
      <c r="C242" t="s">
        <v>26</v>
      </c>
      <c r="D242" t="s">
        <v>27</v>
      </c>
      <c r="E242" t="s">
        <v>28</v>
      </c>
      <c r="F242" s="3">
        <v>1000</v>
      </c>
      <c r="G242" s="3">
        <v>1032</v>
      </c>
      <c r="H242" s="3">
        <v>986</v>
      </c>
      <c r="I242" s="3">
        <v>983</v>
      </c>
      <c r="J242" s="3"/>
      <c r="K242" s="7" cm="1">
        <f t="array" ref="K242">IF(OR(C242="",B242="",I242=""),"",IFERROR((I242-_xlfn.XLOOKUP(1,(C$2:C$501=C242)*(B$2:B$501&lt;&gt;"")*(B$2:B$501=_xlfn.MAXIFS(B$2:B$501,C$2:C$501,C242,B$2:B$501,"&lt;"&amp;B242))*(I$2:I$501&lt;&gt;""),I$2:I$501))/_xlfn.XLOOKUP(1,(C$2:C$501=C242)*(B$2:B$501&lt;&gt;"")*(B$2:B$501=_xlfn.MAXIFS(B$2:B$501,C$2:C$501,C242,B$2:B$501,"&lt;"&amp;B242))*(I$2:I$501&lt;&gt;""),I$2:I$501),""))</f>
        <v>-0.7215297450424929</v>
      </c>
    </row>
    <row r="243" spans="1:11">
      <c r="A243" t="s">
        <v>209</v>
      </c>
      <c r="B243" s="2">
        <v>46082</v>
      </c>
      <c r="C243" t="s">
        <v>16</v>
      </c>
      <c r="D243" t="s">
        <v>17</v>
      </c>
      <c r="E243" t="s">
        <v>18</v>
      </c>
      <c r="F243" s="3">
        <v>2500</v>
      </c>
      <c r="G243" s="3">
        <v>2574</v>
      </c>
      <c r="H243" s="3">
        <v>2481</v>
      </c>
      <c r="I243" s="3">
        <v>2508</v>
      </c>
      <c r="J243" s="3">
        <v>250000</v>
      </c>
      <c r="K243" s="7" cm="1">
        <f t="array" ref="K243">IF(OR(C243="",B243="",I243=""),"",IFERROR((I243-_xlfn.XLOOKUP(1,(C$2:C$501=C243)*(B$2:B$501&lt;&gt;"")*(B$2:B$501=_xlfn.MAXIFS(B$2:B$501,C$2:C$501,C243,B$2:B$501,"&lt;"&amp;B243))*(I$2:I$501&lt;&gt;""),I$2:I$501))/_xlfn.XLOOKUP(1,(C$2:C$501=C243)*(B$2:B$501&lt;&gt;"")*(B$2:B$501=_xlfn.MAXIFS(B$2:B$501,C$2:C$501,C243,B$2:B$501,"&lt;"&amp;B243))*(I$2:I$501&lt;&gt;""),I$2:I$501),""))</f>
        <v>-0.27744165946413135</v>
      </c>
    </row>
    <row r="244" spans="1:11">
      <c r="A244" t="s">
        <v>210</v>
      </c>
      <c r="B244" s="2">
        <v>46023</v>
      </c>
      <c r="C244" t="s">
        <v>22</v>
      </c>
      <c r="D244" t="s">
        <v>22</v>
      </c>
      <c r="E244" t="s">
        <v>23</v>
      </c>
      <c r="F244" s="3">
        <v>3500</v>
      </c>
      <c r="G244" s="3">
        <v>3519</v>
      </c>
      <c r="H244" s="3">
        <v>3469</v>
      </c>
      <c r="I244" s="3">
        <v>3550</v>
      </c>
      <c r="J244" s="3">
        <v>100000</v>
      </c>
      <c r="K244" s="7" t="str" cm="1">
        <f t="array" ref="K244">IF(OR(C244="",B244="",I244=""),"",IFERROR((I244-_xlfn.XLOOKUP(1,(C$2:C$501=C244)*(B$2:B$501&lt;&gt;"")*(B$2:B$501=_xlfn.MAXIFS(B$2:B$501,C$2:C$501,C244,B$2:B$501,"&lt;"&amp;B244))*(I$2:I$501&lt;&gt;""),I$2:I$501))/_xlfn.XLOOKUP(1,(C$2:C$501=C244)*(B$2:B$501&lt;&gt;"")*(B$2:B$501=_xlfn.MAXIFS(B$2:B$501,C$2:C$501,C244,B$2:B$501,"&lt;"&amp;B244))*(I$2:I$501&lt;&gt;""),I$2:I$501),""))</f>
        <v/>
      </c>
    </row>
    <row r="245" spans="1:11">
      <c r="A245" t="s">
        <v>211</v>
      </c>
      <c r="C245" t="s">
        <v>43</v>
      </c>
      <c r="D245" t="s">
        <v>44</v>
      </c>
      <c r="E245" t="s">
        <v>23</v>
      </c>
      <c r="F245" s="3">
        <v>1000</v>
      </c>
      <c r="G245" s="3">
        <v>1045</v>
      </c>
      <c r="H245" s="3">
        <v>987</v>
      </c>
      <c r="I245" s="3">
        <v>950</v>
      </c>
      <c r="J245" s="3"/>
      <c r="K245" s="7" t="str" cm="1">
        <f t="array" ref="K245">IF(OR(C245="",B245="",I245=""),"",IFERROR((I245-_xlfn.XLOOKUP(1,(C$2:C$501=C245)*(B$2:B$501&lt;&gt;"")*(B$2:B$501=_xlfn.MAXIFS(B$2:B$501,C$2:C$501,C245,B$2:B$501,"&lt;"&amp;B245))*(I$2:I$501&lt;&gt;""),I$2:I$501))/_xlfn.XLOOKUP(1,(C$2:C$501=C245)*(B$2:B$501&lt;&gt;"")*(B$2:B$501=_xlfn.MAXIFS(B$2:B$501,C$2:C$501,C245,B$2:B$501,"&lt;"&amp;B245))*(I$2:I$501&lt;&gt;""),I$2:I$501),""))</f>
        <v/>
      </c>
    </row>
    <row r="246" spans="1:11">
      <c r="A246" t="s">
        <v>211</v>
      </c>
      <c r="B246" s="2">
        <v>46082</v>
      </c>
      <c r="C246" t="s">
        <v>43</v>
      </c>
      <c r="D246" t="s">
        <v>44</v>
      </c>
      <c r="E246" t="s">
        <v>23</v>
      </c>
      <c r="F246" s="3">
        <v>2500</v>
      </c>
      <c r="G246" s="3">
        <v>2516</v>
      </c>
      <c r="H246" s="3">
        <v>2439</v>
      </c>
      <c r="I246" s="3">
        <v>2451</v>
      </c>
      <c r="J246" s="3">
        <v>500000</v>
      </c>
      <c r="K246" s="7" cm="1">
        <f t="array" ref="K246">IF(OR(C246="",B246="",I246=""),"",IFERROR((I246-_xlfn.XLOOKUP(1,(C$2:C$501=C246)*(B$2:B$501&lt;&gt;"")*(B$2:B$501=_xlfn.MAXIFS(B$2:B$501,C$2:C$501,C246,B$2:B$501,"&lt;"&amp;B246))*(I$2:I$501&lt;&gt;""),I$2:I$501))/_xlfn.XLOOKUP(1,(C$2:C$501=C246)*(B$2:B$501&lt;&gt;"")*(B$2:B$501=_xlfn.MAXIFS(B$2:B$501,C$2:C$501,C246,B$2:B$501,"&lt;"&amp;B246))*(I$2:I$501&lt;&gt;""),I$2:I$501),""))</f>
        <v>1.3567307692307693</v>
      </c>
    </row>
    <row r="247" spans="1:11">
      <c r="A247" t="s">
        <v>212</v>
      </c>
      <c r="B247" s="2">
        <v>46023</v>
      </c>
      <c r="C247" t="s">
        <v>12</v>
      </c>
      <c r="D247" t="s">
        <v>13</v>
      </c>
      <c r="E247" t="s">
        <v>37</v>
      </c>
      <c r="F247" s="3">
        <v>3500</v>
      </c>
      <c r="G247" s="3">
        <v>3599</v>
      </c>
      <c r="H247" s="3">
        <v>3460</v>
      </c>
      <c r="I247" s="3">
        <v>3502</v>
      </c>
      <c r="J247" s="3"/>
      <c r="K247" s="7" t="str" cm="1">
        <f t="array" ref="K247">IF(OR(C247="",B247="",I247=""),"",IFERROR((I247-_xlfn.XLOOKUP(1,(C$2:C$501=C247)*(B$2:B$501&lt;&gt;"")*(B$2:B$501=_xlfn.MAXIFS(B$2:B$501,C$2:C$501,C247,B$2:B$501,"&lt;"&amp;B247))*(I$2:I$501&lt;&gt;""),I$2:I$501))/_xlfn.XLOOKUP(1,(C$2:C$501=C247)*(B$2:B$501&lt;&gt;"")*(B$2:B$501=_xlfn.MAXIFS(B$2:B$501,C$2:C$501,C247,B$2:B$501,"&lt;"&amp;B247))*(I$2:I$501&lt;&gt;""),I$2:I$501),""))</f>
        <v/>
      </c>
    </row>
    <row r="248" spans="1:11">
      <c r="A248" t="s">
        <v>213</v>
      </c>
      <c r="C248" t="s">
        <v>26</v>
      </c>
      <c r="D248" t="s">
        <v>27</v>
      </c>
      <c r="E248" t="s">
        <v>28</v>
      </c>
      <c r="F248" s="3"/>
      <c r="G248" s="3"/>
      <c r="H248" s="3"/>
      <c r="I248" s="3"/>
      <c r="J248" s="3">
        <v>100000</v>
      </c>
      <c r="K248" s="7" t="str" cm="1">
        <f t="array" ref="K248">IF(OR(C248="",B248="",I248=""),"",IFERROR((I248-_xlfn.XLOOKUP(1,(C$2:C$501=C248)*(B$2:B$501&lt;&gt;"")*(B$2:B$501=_xlfn.MAXIFS(B$2:B$501,C$2:C$501,C248,B$2:B$501,"&lt;"&amp;B248))*(I$2:I$501&lt;&gt;""),I$2:I$501))/_xlfn.XLOOKUP(1,(C$2:C$501=C248)*(B$2:B$501&lt;&gt;"")*(B$2:B$501=_xlfn.MAXIFS(B$2:B$501,C$2:C$501,C248,B$2:B$501,"&lt;"&amp;B248))*(I$2:I$501&lt;&gt;""),I$2:I$501),""))</f>
        <v/>
      </c>
    </row>
    <row r="249" spans="1:11">
      <c r="A249" t="s">
        <v>213</v>
      </c>
      <c r="B249" s="2">
        <v>46054</v>
      </c>
      <c r="C249" t="s">
        <v>22</v>
      </c>
      <c r="D249" t="s">
        <v>22</v>
      </c>
      <c r="E249" t="s">
        <v>23</v>
      </c>
      <c r="F249" s="3"/>
      <c r="G249" s="3"/>
      <c r="H249" s="3"/>
      <c r="I249" s="3"/>
      <c r="J249" s="3">
        <v>500000</v>
      </c>
      <c r="K249" s="7" t="str" cm="1">
        <f t="array" ref="K249">IF(OR(C249="",B249="",I249=""),"",IFERROR((I249-_xlfn.XLOOKUP(1,(C$2:C$501=C249)*(B$2:B$501&lt;&gt;"")*(B$2:B$501=_xlfn.MAXIFS(B$2:B$501,C$2:C$501,C249,B$2:B$501,"&lt;"&amp;B249))*(I$2:I$501&lt;&gt;""),I$2:I$501))/_xlfn.XLOOKUP(1,(C$2:C$501=C249)*(B$2:B$501&lt;&gt;"")*(B$2:B$501=_xlfn.MAXIFS(B$2:B$501,C$2:C$501,C249,B$2:B$501,"&lt;"&amp;B249))*(I$2:I$501&lt;&gt;""),I$2:I$501),""))</f>
        <v/>
      </c>
    </row>
    <row r="250" spans="1:11">
      <c r="A250" t="s">
        <v>214</v>
      </c>
      <c r="B250" s="2">
        <v>46023</v>
      </c>
      <c r="C250" t="s">
        <v>12</v>
      </c>
      <c r="D250" t="s">
        <v>13</v>
      </c>
      <c r="E250" t="s">
        <v>37</v>
      </c>
      <c r="F250" s="3">
        <v>2500</v>
      </c>
      <c r="G250" s="3">
        <v>2556</v>
      </c>
      <c r="H250" s="3">
        <v>2444</v>
      </c>
      <c r="I250" s="3">
        <v>2481</v>
      </c>
      <c r="J250" s="3">
        <v>500000</v>
      </c>
      <c r="K250" s="7" t="str" cm="1">
        <f t="array" ref="K250">IF(OR(C250="",B250="",I250=""),"",IFERROR((I250-_xlfn.XLOOKUP(1,(C$2:C$501=C250)*(B$2:B$501&lt;&gt;"")*(B$2:B$501=_xlfn.MAXIFS(B$2:B$501,C$2:C$501,C250,B$2:B$501,"&lt;"&amp;B250))*(I$2:I$501&lt;&gt;""),I$2:I$501))/_xlfn.XLOOKUP(1,(C$2:C$501=C250)*(B$2:B$501&lt;&gt;"")*(B$2:B$501=_xlfn.MAXIFS(B$2:B$501,C$2:C$501,C250,B$2:B$501,"&lt;"&amp;B250))*(I$2:I$501&lt;&gt;""),I$2:I$501),""))</f>
        <v/>
      </c>
    </row>
    <row r="251" spans="1:11">
      <c r="A251" t="s">
        <v>215</v>
      </c>
      <c r="B251" s="2">
        <v>46082</v>
      </c>
      <c r="C251" t="s">
        <v>16</v>
      </c>
      <c r="D251" t="s">
        <v>17</v>
      </c>
      <c r="E251" t="s">
        <v>18</v>
      </c>
      <c r="F251" s="3">
        <v>1000</v>
      </c>
      <c r="G251" s="3">
        <v>1070</v>
      </c>
      <c r="H251" s="3">
        <v>923</v>
      </c>
      <c r="I251" s="3">
        <v>973</v>
      </c>
      <c r="J251" s="3">
        <v>500000</v>
      </c>
      <c r="K251" s="7" cm="1">
        <f t="array" ref="K251">IF(OR(C251="",B251="",I251=""),"",IFERROR((I251-_xlfn.XLOOKUP(1,(C$2:C$501=C251)*(B$2:B$501&lt;&gt;"")*(B$2:B$501=_xlfn.MAXIFS(B$2:B$501,C$2:C$501,C251,B$2:B$501,"&lt;"&amp;B251))*(I$2:I$501&lt;&gt;""),I$2:I$501))/_xlfn.XLOOKUP(1,(C$2:C$501=C251)*(B$2:B$501&lt;&gt;"")*(B$2:B$501=_xlfn.MAXIFS(B$2:B$501,C$2:C$501,C251,B$2:B$501,"&lt;"&amp;B251))*(I$2:I$501&lt;&gt;""),I$2:I$501),""))</f>
        <v>-0.71967732641889948</v>
      </c>
    </row>
    <row r="252" spans="1:11">
      <c r="A252" t="s">
        <v>216</v>
      </c>
      <c r="C252" t="s">
        <v>26</v>
      </c>
      <c r="D252" t="s">
        <v>27</v>
      </c>
      <c r="E252" t="s">
        <v>28</v>
      </c>
      <c r="F252" s="3">
        <v>3500</v>
      </c>
      <c r="G252" s="3">
        <v>3547</v>
      </c>
      <c r="H252" s="3">
        <v>3481</v>
      </c>
      <c r="I252" s="3">
        <v>3542</v>
      </c>
      <c r="J252" s="3">
        <v>250000</v>
      </c>
      <c r="K252" s="7" t="str" cm="1">
        <f t="array" ref="K252">IF(OR(C252="",B252="",I252=""),"",IFERROR((I252-_xlfn.XLOOKUP(1,(C$2:C$501=C252)*(B$2:B$501&lt;&gt;"")*(B$2:B$501=_xlfn.MAXIFS(B$2:B$501,C$2:C$501,C252,B$2:B$501,"&lt;"&amp;B252))*(I$2:I$501&lt;&gt;""),I$2:I$501))/_xlfn.XLOOKUP(1,(C$2:C$501=C252)*(B$2:B$501&lt;&gt;"")*(B$2:B$501=_xlfn.MAXIFS(B$2:B$501,C$2:C$501,C252,B$2:B$501,"&lt;"&amp;B252))*(I$2:I$501&lt;&gt;""),I$2:I$501),""))</f>
        <v/>
      </c>
    </row>
    <row r="253" spans="1:11">
      <c r="A253" t="s">
        <v>217</v>
      </c>
      <c r="B253" s="2">
        <v>46023</v>
      </c>
      <c r="C253" t="s">
        <v>16</v>
      </c>
      <c r="D253" t="s">
        <v>17</v>
      </c>
      <c r="E253" t="s">
        <v>18</v>
      </c>
      <c r="F253" s="3">
        <v>1000</v>
      </c>
      <c r="G253" s="3">
        <v>1020</v>
      </c>
      <c r="H253" s="3">
        <v>989</v>
      </c>
      <c r="I253" s="3">
        <v>999</v>
      </c>
      <c r="J253" s="3">
        <v>100000</v>
      </c>
      <c r="K253" s="7" t="str" cm="1">
        <f t="array" ref="K253">IF(OR(C253="",B253="",I253=""),"",IFERROR((I253-_xlfn.XLOOKUP(1,(C$2:C$501=C253)*(B$2:B$501&lt;&gt;"")*(B$2:B$501=_xlfn.MAXIFS(B$2:B$501,C$2:C$501,C253,B$2:B$501,"&lt;"&amp;B253))*(I$2:I$501&lt;&gt;""),I$2:I$501))/_xlfn.XLOOKUP(1,(C$2:C$501=C253)*(B$2:B$501&lt;&gt;"")*(B$2:B$501=_xlfn.MAXIFS(B$2:B$501,C$2:C$501,C253,B$2:B$501,"&lt;"&amp;B253))*(I$2:I$501&lt;&gt;""),I$2:I$501),""))</f>
        <v/>
      </c>
    </row>
    <row r="254" spans="1:11">
      <c r="A254" t="s">
        <v>218</v>
      </c>
      <c r="C254" t="s">
        <v>16</v>
      </c>
      <c r="D254" t="s">
        <v>17</v>
      </c>
      <c r="E254" t="s">
        <v>18</v>
      </c>
      <c r="F254" s="3"/>
      <c r="G254" s="3"/>
      <c r="H254" s="3"/>
      <c r="I254" s="3"/>
      <c r="J254" s="3">
        <v>500000</v>
      </c>
      <c r="K254" s="7" t="str" cm="1">
        <f t="array" ref="K254">IF(OR(C254="",B254="",I254=""),"",IFERROR((I254-_xlfn.XLOOKUP(1,(C$2:C$501=C254)*(B$2:B$501&lt;&gt;"")*(B$2:B$501=_xlfn.MAXIFS(B$2:B$501,C$2:C$501,C254,B$2:B$501,"&lt;"&amp;B254))*(I$2:I$501&lt;&gt;""),I$2:I$501))/_xlfn.XLOOKUP(1,(C$2:C$501=C254)*(B$2:B$501&lt;&gt;"")*(B$2:B$501=_xlfn.MAXIFS(B$2:B$501,C$2:C$501,C254,B$2:B$501,"&lt;"&amp;B254))*(I$2:I$501&lt;&gt;""),I$2:I$501),""))</f>
        <v/>
      </c>
    </row>
    <row r="255" spans="1:11">
      <c r="A255" t="s">
        <v>218</v>
      </c>
      <c r="B255" s="2">
        <v>46082</v>
      </c>
      <c r="C255" t="s">
        <v>16</v>
      </c>
      <c r="D255" t="s">
        <v>17</v>
      </c>
      <c r="E255" t="s">
        <v>18</v>
      </c>
      <c r="F255" s="3">
        <v>2500</v>
      </c>
      <c r="G255" s="3">
        <v>2532</v>
      </c>
      <c r="H255" s="3">
        <v>2436</v>
      </c>
      <c r="I255" s="3">
        <v>2491</v>
      </c>
      <c r="J255" s="3">
        <v>100000</v>
      </c>
      <c r="K255" s="7" cm="1">
        <f t="array" ref="K255">IF(OR(C255="",B255="",I255=""),"",IFERROR((I255-_xlfn.XLOOKUP(1,(C$2:C$501=C255)*(B$2:B$501&lt;&gt;"")*(B$2:B$501=_xlfn.MAXIFS(B$2:B$501,C$2:C$501,C255,B$2:B$501,"&lt;"&amp;B255))*(I$2:I$501&lt;&gt;""),I$2:I$501))/_xlfn.XLOOKUP(1,(C$2:C$501=C255)*(B$2:B$501&lt;&gt;"")*(B$2:B$501=_xlfn.MAXIFS(B$2:B$501,C$2:C$501,C255,B$2:B$501,"&lt;"&amp;B255))*(I$2:I$501&lt;&gt;""),I$2:I$501),""))</f>
        <v>-0.28233938346297899</v>
      </c>
    </row>
    <row r="256" spans="1:11">
      <c r="A256" t="s">
        <v>219</v>
      </c>
      <c r="C256" t="s">
        <v>16</v>
      </c>
      <c r="D256" t="s">
        <v>17</v>
      </c>
      <c r="E256" t="s">
        <v>18</v>
      </c>
      <c r="F256" s="3"/>
      <c r="G256" s="3"/>
      <c r="H256" s="3"/>
      <c r="I256" s="3"/>
      <c r="J256" s="3"/>
      <c r="K256" s="7" t="str" cm="1">
        <f t="array" ref="K256">IF(OR(C256="",B256="",I256=""),"",IFERROR((I256-_xlfn.XLOOKUP(1,(C$2:C$501=C256)*(B$2:B$501&lt;&gt;"")*(B$2:B$501=_xlfn.MAXIFS(B$2:B$501,C$2:C$501,C256,B$2:B$501,"&lt;"&amp;B256))*(I$2:I$501&lt;&gt;""),I$2:I$501))/_xlfn.XLOOKUP(1,(C$2:C$501=C256)*(B$2:B$501&lt;&gt;"")*(B$2:B$501=_xlfn.MAXIFS(B$2:B$501,C$2:C$501,C256,B$2:B$501,"&lt;"&amp;B256))*(I$2:I$501&lt;&gt;""),I$2:I$501),""))</f>
        <v/>
      </c>
    </row>
    <row r="257" spans="1:11">
      <c r="A257" t="s">
        <v>220</v>
      </c>
      <c r="B257" s="2">
        <v>46023</v>
      </c>
      <c r="C257" t="s">
        <v>16</v>
      </c>
      <c r="D257" t="s">
        <v>17</v>
      </c>
      <c r="E257" t="s">
        <v>18</v>
      </c>
      <c r="F257" s="3">
        <v>3500</v>
      </c>
      <c r="G257" s="3">
        <v>3557</v>
      </c>
      <c r="H257" s="3">
        <v>3476</v>
      </c>
      <c r="I257" s="3">
        <v>3494</v>
      </c>
      <c r="J257" s="3">
        <v>250000</v>
      </c>
      <c r="K257" s="7" t="str" cm="1">
        <f t="array" ref="K257">IF(OR(C257="",B257="",I257=""),"",IFERROR((I257-_xlfn.XLOOKUP(1,(C$2:C$501=C257)*(B$2:B$501&lt;&gt;"")*(B$2:B$501=_xlfn.MAXIFS(B$2:B$501,C$2:C$501,C257,B$2:B$501,"&lt;"&amp;B257))*(I$2:I$501&lt;&gt;""),I$2:I$501))/_xlfn.XLOOKUP(1,(C$2:C$501=C257)*(B$2:B$501&lt;&gt;"")*(B$2:B$501=_xlfn.MAXIFS(B$2:B$501,C$2:C$501,C257,B$2:B$501,"&lt;"&amp;B257))*(I$2:I$501&lt;&gt;""),I$2:I$501),""))</f>
        <v/>
      </c>
    </row>
    <row r="258" spans="1:11">
      <c r="A258" t="s">
        <v>220</v>
      </c>
      <c r="B258" s="2">
        <v>46023</v>
      </c>
      <c r="C258" t="s">
        <v>43</v>
      </c>
      <c r="D258" t="s">
        <v>44</v>
      </c>
      <c r="E258" t="s">
        <v>23</v>
      </c>
      <c r="F258" s="3">
        <v>1000</v>
      </c>
      <c r="G258" s="3">
        <v>1062</v>
      </c>
      <c r="H258" s="3">
        <v>932</v>
      </c>
      <c r="I258" s="3">
        <v>986</v>
      </c>
      <c r="J258" s="3"/>
      <c r="K258" s="7" t="str" cm="1">
        <f t="array" ref="K258">IF(OR(C258="",B258="",I258=""),"",IFERROR((I258-_xlfn.XLOOKUP(1,(C$2:C$501=C258)*(B$2:B$501&lt;&gt;"")*(B$2:B$501=_xlfn.MAXIFS(B$2:B$501,C$2:C$501,C258,B$2:B$501,"&lt;"&amp;B258))*(I$2:I$501&lt;&gt;""),I$2:I$501))/_xlfn.XLOOKUP(1,(C$2:C$501=C258)*(B$2:B$501&lt;&gt;"")*(B$2:B$501=_xlfn.MAXIFS(B$2:B$501,C$2:C$501,C258,B$2:B$501,"&lt;"&amp;B258))*(I$2:I$501&lt;&gt;""),I$2:I$501),""))</f>
        <v/>
      </c>
    </row>
    <row r="259" spans="1:11">
      <c r="A259" t="s">
        <v>221</v>
      </c>
      <c r="B259" s="2">
        <v>46023</v>
      </c>
      <c r="C259" t="s">
        <v>43</v>
      </c>
      <c r="D259" t="s">
        <v>44</v>
      </c>
      <c r="E259" t="s">
        <v>23</v>
      </c>
      <c r="F259" s="3">
        <v>2500</v>
      </c>
      <c r="G259" s="3">
        <v>2532</v>
      </c>
      <c r="H259" s="3">
        <v>2458</v>
      </c>
      <c r="I259" s="3">
        <v>2525</v>
      </c>
      <c r="J259" s="3"/>
      <c r="K259" s="7" t="str" cm="1">
        <f t="array" ref="K259">IF(OR(C259="",B259="",I259=""),"",IFERROR((I259-_xlfn.XLOOKUP(1,(C$2:C$501=C259)*(B$2:B$501&lt;&gt;"")*(B$2:B$501=_xlfn.MAXIFS(B$2:B$501,C$2:C$501,C259,B$2:B$501,"&lt;"&amp;B259))*(I$2:I$501&lt;&gt;""),I$2:I$501))/_xlfn.XLOOKUP(1,(C$2:C$501=C259)*(B$2:B$501&lt;&gt;"")*(B$2:B$501=_xlfn.MAXIFS(B$2:B$501,C$2:C$501,C259,B$2:B$501,"&lt;"&amp;B259))*(I$2:I$501&lt;&gt;""),I$2:I$501),""))</f>
        <v/>
      </c>
    </row>
    <row r="260" spans="1:11">
      <c r="A260" t="s">
        <v>222</v>
      </c>
      <c r="B260" s="2">
        <v>46023</v>
      </c>
      <c r="C260" t="s">
        <v>26</v>
      </c>
      <c r="D260" t="s">
        <v>27</v>
      </c>
      <c r="E260" t="s">
        <v>28</v>
      </c>
      <c r="F260" s="3">
        <v>1000</v>
      </c>
      <c r="G260" s="3">
        <v>1057</v>
      </c>
      <c r="H260" s="3">
        <v>989</v>
      </c>
      <c r="I260" s="3">
        <v>1006</v>
      </c>
      <c r="J260" s="3"/>
      <c r="K260" s="7" t="str" cm="1">
        <f t="array" ref="K260">IF(OR(C260="",B260="",I260=""),"",IFERROR((I260-_xlfn.XLOOKUP(1,(C$2:C$501=C260)*(B$2:B$501&lt;&gt;"")*(B$2:B$501=_xlfn.MAXIFS(B$2:B$501,C$2:C$501,C260,B$2:B$501,"&lt;"&amp;B260))*(I$2:I$501&lt;&gt;""),I$2:I$501))/_xlfn.XLOOKUP(1,(C$2:C$501=C260)*(B$2:B$501&lt;&gt;"")*(B$2:B$501=_xlfn.MAXIFS(B$2:B$501,C$2:C$501,C260,B$2:B$501,"&lt;"&amp;B260))*(I$2:I$501&lt;&gt;""),I$2:I$501),""))</f>
        <v/>
      </c>
    </row>
    <row r="261" spans="1:11">
      <c r="A261" t="s">
        <v>223</v>
      </c>
      <c r="B261" s="2">
        <v>46054</v>
      </c>
      <c r="C261" t="s">
        <v>22</v>
      </c>
      <c r="D261" t="s">
        <v>22</v>
      </c>
      <c r="E261" t="s">
        <v>23</v>
      </c>
      <c r="F261" s="3"/>
      <c r="G261" s="3"/>
      <c r="H261" s="3"/>
      <c r="I261" s="3"/>
      <c r="J261" s="3">
        <v>100000</v>
      </c>
      <c r="K261" s="7" t="str" cm="1">
        <f t="array" ref="K261">IF(OR(C261="",B261="",I261=""),"",IFERROR((I261-_xlfn.XLOOKUP(1,(C$2:C$501=C261)*(B$2:B$501&lt;&gt;"")*(B$2:B$501=_xlfn.MAXIFS(B$2:B$501,C$2:C$501,C261,B$2:B$501,"&lt;"&amp;B261))*(I$2:I$501&lt;&gt;""),I$2:I$501))/_xlfn.XLOOKUP(1,(C$2:C$501=C261)*(B$2:B$501&lt;&gt;"")*(B$2:B$501=_xlfn.MAXIFS(B$2:B$501,C$2:C$501,C261,B$2:B$501,"&lt;"&amp;B261))*(I$2:I$501&lt;&gt;""),I$2:I$501),""))</f>
        <v/>
      </c>
    </row>
    <row r="262" spans="1:11">
      <c r="A262" t="s">
        <v>224</v>
      </c>
      <c r="B262" s="2">
        <v>46054</v>
      </c>
      <c r="C262" t="s">
        <v>22</v>
      </c>
      <c r="D262" t="s">
        <v>22</v>
      </c>
      <c r="E262" t="s">
        <v>23</v>
      </c>
      <c r="F262" s="3">
        <v>3500</v>
      </c>
      <c r="G262" s="3">
        <v>3580</v>
      </c>
      <c r="H262" s="3">
        <v>3427</v>
      </c>
      <c r="I262" s="3">
        <v>3455</v>
      </c>
      <c r="J262" s="3">
        <v>500000</v>
      </c>
      <c r="K262" s="7" cm="1">
        <f t="array" ref="K262">IF(OR(C262="",B262="",I262=""),"",IFERROR((I262-_xlfn.XLOOKUP(1,(C$2:C$501=C262)*(B$2:B$501&lt;&gt;"")*(B$2:B$501=_xlfn.MAXIFS(B$2:B$501,C$2:C$501,C262,B$2:B$501,"&lt;"&amp;B262))*(I$2:I$501&lt;&gt;""),I$2:I$501))/_xlfn.XLOOKUP(1,(C$2:C$501=C262)*(B$2:B$501&lt;&gt;"")*(B$2:B$501=_xlfn.MAXIFS(B$2:B$501,C$2:C$501,C262,B$2:B$501,"&lt;"&amp;B262))*(I$2:I$501&lt;&gt;""),I$2:I$501),""))</f>
        <v>2.529111338100102</v>
      </c>
    </row>
    <row r="263" spans="1:11">
      <c r="A263" t="s">
        <v>224</v>
      </c>
      <c r="B263" s="2">
        <v>46054</v>
      </c>
      <c r="C263" t="s">
        <v>26</v>
      </c>
      <c r="D263" t="s">
        <v>27</v>
      </c>
      <c r="E263" t="s">
        <v>28</v>
      </c>
      <c r="F263" s="3">
        <v>1000</v>
      </c>
      <c r="G263" s="3">
        <v>1050</v>
      </c>
      <c r="H263" s="3">
        <v>977</v>
      </c>
      <c r="I263" s="3">
        <v>951</v>
      </c>
      <c r="J263" s="3">
        <v>250000</v>
      </c>
      <c r="K263" s="7" cm="1">
        <f t="array" ref="K263">IF(OR(C263="",B263="",I263=""),"",IFERROR((I263-_xlfn.XLOOKUP(1,(C$2:C$501=C263)*(B$2:B$501&lt;&gt;"")*(B$2:B$501=_xlfn.MAXIFS(B$2:B$501,C$2:C$501,C263,B$2:B$501,"&lt;"&amp;B263))*(I$2:I$501&lt;&gt;""),I$2:I$501))/_xlfn.XLOOKUP(1,(C$2:C$501=C263)*(B$2:B$501&lt;&gt;"")*(B$2:B$501=_xlfn.MAXIFS(B$2:B$501,C$2:C$501,C263,B$2:B$501,"&lt;"&amp;B263))*(I$2:I$501&lt;&gt;""),I$2:I$501),""))</f>
        <v>-0.62396204033214708</v>
      </c>
    </row>
    <row r="264" spans="1:11">
      <c r="A264" t="s">
        <v>225</v>
      </c>
      <c r="B264" s="2">
        <v>46082</v>
      </c>
      <c r="C264" t="s">
        <v>22</v>
      </c>
      <c r="D264" t="s">
        <v>22</v>
      </c>
      <c r="E264" t="s">
        <v>23</v>
      </c>
      <c r="F264" s="3">
        <v>1000</v>
      </c>
      <c r="G264" s="3">
        <v>1047</v>
      </c>
      <c r="H264" s="3">
        <v>926</v>
      </c>
      <c r="I264" s="3">
        <v>1037</v>
      </c>
      <c r="J264" s="3"/>
      <c r="K264" s="7" cm="1">
        <f t="array" ref="K264">IF(OR(C264="",B264="",I264=""),"",IFERROR((I264-_xlfn.XLOOKUP(1,(C$2:C$501=C264)*(B$2:B$501&lt;&gt;"")*(B$2:B$501=_xlfn.MAXIFS(B$2:B$501,C$2:C$501,C264,B$2:B$501,"&lt;"&amp;B264))*(I$2:I$501&lt;&gt;""),I$2:I$501))/_xlfn.XLOOKUP(1,(C$2:C$501=C264)*(B$2:B$501&lt;&gt;"")*(B$2:B$501=_xlfn.MAXIFS(B$2:B$501,C$2:C$501,C264,B$2:B$501,"&lt;"&amp;B264))*(I$2:I$501&lt;&gt;""),I$2:I$501),""))</f>
        <v>-0.70589903573454338</v>
      </c>
    </row>
    <row r="265" spans="1:11">
      <c r="A265" t="s">
        <v>225</v>
      </c>
      <c r="B265" s="2">
        <v>46082</v>
      </c>
      <c r="C265" t="s">
        <v>26</v>
      </c>
      <c r="D265" t="s">
        <v>27</v>
      </c>
      <c r="E265" t="s">
        <v>28</v>
      </c>
      <c r="F265" s="3">
        <v>3500</v>
      </c>
      <c r="G265" s="3">
        <v>3569</v>
      </c>
      <c r="H265" s="3">
        <v>3450</v>
      </c>
      <c r="I265" s="3">
        <v>3453</v>
      </c>
      <c r="J265" s="3">
        <v>500000</v>
      </c>
      <c r="K265" s="7" cm="1">
        <f t="array" ref="K265">IF(OR(C265="",B265="",I265=""),"",IFERROR((I265-_xlfn.XLOOKUP(1,(C$2:C$501=C265)*(B$2:B$501&lt;&gt;"")*(B$2:B$501=_xlfn.MAXIFS(B$2:B$501,C$2:C$501,C265,B$2:B$501,"&lt;"&amp;B265))*(I$2:I$501&lt;&gt;""),I$2:I$501))/_xlfn.XLOOKUP(1,(C$2:C$501=C265)*(B$2:B$501&lt;&gt;"")*(B$2:B$501=_xlfn.MAXIFS(B$2:B$501,C$2:C$501,C265,B$2:B$501,"&lt;"&amp;B265))*(I$2:I$501&lt;&gt;""),I$2:I$501),""))</f>
        <v>-2.1813031161473088E-2</v>
      </c>
    </row>
    <row r="266" spans="1:11">
      <c r="A266" t="s">
        <v>226</v>
      </c>
      <c r="B266" s="2">
        <v>46082</v>
      </c>
      <c r="C266" t="s">
        <v>22</v>
      </c>
      <c r="D266" t="s">
        <v>22</v>
      </c>
      <c r="E266" t="s">
        <v>23</v>
      </c>
      <c r="F266" s="3"/>
      <c r="G266" s="3"/>
      <c r="H266" s="3"/>
      <c r="I266" s="3"/>
      <c r="J266" s="3">
        <v>250000</v>
      </c>
      <c r="K266" s="7" t="str" cm="1">
        <f t="array" ref="K266">IF(OR(C266="",B266="",I266=""),"",IFERROR((I266-_xlfn.XLOOKUP(1,(C$2:C$501=C266)*(B$2:B$501&lt;&gt;"")*(B$2:B$501=_xlfn.MAXIFS(B$2:B$501,C$2:C$501,C266,B$2:B$501,"&lt;"&amp;B266))*(I$2:I$501&lt;&gt;""),I$2:I$501))/_xlfn.XLOOKUP(1,(C$2:C$501=C266)*(B$2:B$501&lt;&gt;"")*(B$2:B$501=_xlfn.MAXIFS(B$2:B$501,C$2:C$501,C266,B$2:B$501,"&lt;"&amp;B266))*(I$2:I$501&lt;&gt;""),I$2:I$501),""))</f>
        <v/>
      </c>
    </row>
    <row r="267" spans="1:11">
      <c r="A267" t="s">
        <v>227</v>
      </c>
      <c r="B267" s="2">
        <v>46082</v>
      </c>
      <c r="C267" t="s">
        <v>12</v>
      </c>
      <c r="D267" t="s">
        <v>13</v>
      </c>
      <c r="E267" t="s">
        <v>37</v>
      </c>
      <c r="F267" s="3">
        <v>1000</v>
      </c>
      <c r="G267" s="3">
        <v>1068</v>
      </c>
      <c r="H267" s="3">
        <v>954</v>
      </c>
      <c r="I267" s="3">
        <v>1037</v>
      </c>
      <c r="J267" s="3">
        <v>100000</v>
      </c>
      <c r="K267" s="7" cm="1">
        <f t="array" ref="K267">IF(OR(C267="",B267="",I267=""),"",IFERROR((I267-_xlfn.XLOOKUP(1,(C$2:C$501=C267)*(B$2:B$501&lt;&gt;"")*(B$2:B$501=_xlfn.MAXIFS(B$2:B$501,C$2:C$501,C267,B$2:B$501,"&lt;"&amp;B267))*(I$2:I$501&lt;&gt;""),I$2:I$501))/_xlfn.XLOOKUP(1,(C$2:C$501=C267)*(B$2:B$501&lt;&gt;"")*(B$2:B$501=_xlfn.MAXIFS(B$2:B$501,C$2:C$501,C267,B$2:B$501,"&lt;"&amp;B267))*(I$2:I$501&lt;&gt;""),I$2:I$501),""))</f>
        <v>-0.58033184945366245</v>
      </c>
    </row>
    <row r="268" spans="1:11">
      <c r="A268" t="s">
        <v>228</v>
      </c>
      <c r="B268" s="2">
        <v>46082</v>
      </c>
      <c r="C268" t="s">
        <v>16</v>
      </c>
      <c r="D268" t="s">
        <v>17</v>
      </c>
      <c r="E268" t="s">
        <v>18</v>
      </c>
      <c r="F268" s="3">
        <v>3500</v>
      </c>
      <c r="G268" s="3">
        <v>3554</v>
      </c>
      <c r="H268" s="3">
        <v>3437</v>
      </c>
      <c r="I268" s="3">
        <v>3509</v>
      </c>
      <c r="J268" s="3">
        <v>100000</v>
      </c>
      <c r="K268" s="7" cm="1">
        <f t="array" ref="K268">IF(OR(C268="",B268="",I268=""),"",IFERROR((I268-_xlfn.XLOOKUP(1,(C$2:C$501=C268)*(B$2:B$501&lt;&gt;"")*(B$2:B$501=_xlfn.MAXIFS(B$2:B$501,C$2:C$501,C268,B$2:B$501,"&lt;"&amp;B268))*(I$2:I$501&lt;&gt;""),I$2:I$501))/_xlfn.XLOOKUP(1,(C$2:C$501=C268)*(B$2:B$501&lt;&gt;"")*(B$2:B$501=_xlfn.MAXIFS(B$2:B$501,C$2:C$501,C268,B$2:B$501,"&lt;"&amp;B268))*(I$2:I$501&lt;&gt;""),I$2:I$501),""))</f>
        <v>1.0947853644482858E-2</v>
      </c>
    </row>
    <row r="269" spans="1:11">
      <c r="A269" t="s">
        <v>229</v>
      </c>
      <c r="B269" s="2">
        <v>46054</v>
      </c>
      <c r="C269" t="s">
        <v>12</v>
      </c>
      <c r="D269" t="s">
        <v>13</v>
      </c>
      <c r="E269" t="s">
        <v>37</v>
      </c>
      <c r="F269" s="3">
        <v>2500</v>
      </c>
      <c r="G269" s="3">
        <v>2525</v>
      </c>
      <c r="H269" s="3">
        <v>2429</v>
      </c>
      <c r="I269" s="3">
        <v>2483</v>
      </c>
      <c r="J269" s="3"/>
      <c r="K269" s="7" cm="1">
        <f t="array" ref="K269">IF(OR(C269="",B269="",I269=""),"",IFERROR((I269-_xlfn.XLOOKUP(1,(C$2:C$501=C269)*(B$2:B$501&lt;&gt;"")*(B$2:B$501=_xlfn.MAXIFS(B$2:B$501,C$2:C$501,C269,B$2:B$501,"&lt;"&amp;B269))*(I$2:I$501&lt;&gt;""),I$2:I$501))/_xlfn.XLOOKUP(1,(C$2:C$501=C269)*(B$2:B$501&lt;&gt;"")*(B$2:B$501=_xlfn.MAXIFS(B$2:B$501,C$2:C$501,C269,B$2:B$501,"&lt;"&amp;B269))*(I$2:I$501&lt;&gt;""),I$2:I$501),""))</f>
        <v>4.0436716538617065E-3</v>
      </c>
    </row>
    <row r="270" spans="1:11">
      <c r="A270" t="s">
        <v>229</v>
      </c>
      <c r="B270" s="2">
        <v>46023</v>
      </c>
      <c r="C270" t="s">
        <v>22</v>
      </c>
      <c r="D270" t="s">
        <v>22</v>
      </c>
      <c r="E270" t="s">
        <v>23</v>
      </c>
      <c r="F270" s="3">
        <v>3500</v>
      </c>
      <c r="G270" s="3">
        <v>3527</v>
      </c>
      <c r="H270" s="3">
        <v>3463</v>
      </c>
      <c r="I270" s="3">
        <v>3529</v>
      </c>
      <c r="J270" s="3"/>
      <c r="K270" s="7" t="str" cm="1">
        <f t="array" ref="K270">IF(OR(C270="",B270="",I270=""),"",IFERROR((I270-_xlfn.XLOOKUP(1,(C$2:C$501=C270)*(B$2:B$501&lt;&gt;"")*(B$2:B$501=_xlfn.MAXIFS(B$2:B$501,C$2:C$501,C270,B$2:B$501,"&lt;"&amp;B270))*(I$2:I$501&lt;&gt;""),I$2:I$501))/_xlfn.XLOOKUP(1,(C$2:C$501=C270)*(B$2:B$501&lt;&gt;"")*(B$2:B$501=_xlfn.MAXIFS(B$2:B$501,C$2:C$501,C270,B$2:B$501,"&lt;"&amp;B270))*(I$2:I$501&lt;&gt;""),I$2:I$501),""))</f>
        <v/>
      </c>
    </row>
    <row r="271" spans="1:11">
      <c r="A271" t="s">
        <v>230</v>
      </c>
      <c r="B271" s="2">
        <v>46082</v>
      </c>
      <c r="C271" t="s">
        <v>26</v>
      </c>
      <c r="D271" t="s">
        <v>27</v>
      </c>
      <c r="E271" t="s">
        <v>28</v>
      </c>
      <c r="F271" s="3">
        <v>2500</v>
      </c>
      <c r="G271" s="3">
        <v>2596</v>
      </c>
      <c r="H271" s="3">
        <v>2482</v>
      </c>
      <c r="I271" s="3">
        <v>2516</v>
      </c>
      <c r="J271" s="3">
        <v>100000</v>
      </c>
      <c r="K271" s="7" cm="1">
        <f t="array" ref="K271">IF(OR(C271="",B271="",I271=""),"",IFERROR((I271-_xlfn.XLOOKUP(1,(C$2:C$501=C271)*(B$2:B$501&lt;&gt;"")*(B$2:B$501=_xlfn.MAXIFS(B$2:B$501,C$2:C$501,C271,B$2:B$501,"&lt;"&amp;B271))*(I$2:I$501&lt;&gt;""),I$2:I$501))/_xlfn.XLOOKUP(1,(C$2:C$501=C271)*(B$2:B$501&lt;&gt;"")*(B$2:B$501=_xlfn.MAXIFS(B$2:B$501,C$2:C$501,C271,B$2:B$501,"&lt;"&amp;B271))*(I$2:I$501&lt;&gt;""),I$2:I$501),""))</f>
        <v>-0.28725212464589234</v>
      </c>
    </row>
    <row r="272" spans="1:11">
      <c r="A272" t="s">
        <v>231</v>
      </c>
      <c r="C272" t="s">
        <v>43</v>
      </c>
      <c r="D272" t="s">
        <v>44</v>
      </c>
      <c r="E272" t="s">
        <v>23</v>
      </c>
      <c r="F272" s="3"/>
      <c r="G272" s="3"/>
      <c r="H272" s="3"/>
      <c r="I272" s="3"/>
      <c r="J272" s="3"/>
      <c r="K272" s="7" t="str" cm="1">
        <f t="array" ref="K272">IF(OR(C272="",B272="",I272=""),"",IFERROR((I272-_xlfn.XLOOKUP(1,(C$2:C$501=C272)*(B$2:B$501&lt;&gt;"")*(B$2:B$501=_xlfn.MAXIFS(B$2:B$501,C$2:C$501,C272,B$2:B$501,"&lt;"&amp;B272))*(I$2:I$501&lt;&gt;""),I$2:I$501))/_xlfn.XLOOKUP(1,(C$2:C$501=C272)*(B$2:B$501&lt;&gt;"")*(B$2:B$501=_xlfn.MAXIFS(B$2:B$501,C$2:C$501,C272,B$2:B$501,"&lt;"&amp;B272))*(I$2:I$501&lt;&gt;""),I$2:I$501),""))</f>
        <v/>
      </c>
    </row>
    <row r="273" spans="1:11">
      <c r="A273" t="s">
        <v>232</v>
      </c>
      <c r="C273" t="s">
        <v>16</v>
      </c>
      <c r="D273" t="s">
        <v>17</v>
      </c>
      <c r="E273" t="s">
        <v>18</v>
      </c>
      <c r="F273" s="3">
        <v>1000</v>
      </c>
      <c r="G273" s="3">
        <v>1040</v>
      </c>
      <c r="H273" s="3">
        <v>952</v>
      </c>
      <c r="I273" s="3">
        <v>1000</v>
      </c>
      <c r="J273" s="3">
        <v>100000</v>
      </c>
      <c r="K273" s="7" t="str" cm="1">
        <f t="array" ref="K273">IF(OR(C273="",B273="",I273=""),"",IFERROR((I273-_xlfn.XLOOKUP(1,(C$2:C$501=C273)*(B$2:B$501&lt;&gt;"")*(B$2:B$501=_xlfn.MAXIFS(B$2:B$501,C$2:C$501,C273,B$2:B$501,"&lt;"&amp;B273))*(I$2:I$501&lt;&gt;""),I$2:I$501))/_xlfn.XLOOKUP(1,(C$2:C$501=C273)*(B$2:B$501&lt;&gt;"")*(B$2:B$501=_xlfn.MAXIFS(B$2:B$501,C$2:C$501,C273,B$2:B$501,"&lt;"&amp;B273))*(I$2:I$501&lt;&gt;""),I$2:I$501),""))</f>
        <v/>
      </c>
    </row>
    <row r="274" spans="1:11">
      <c r="A274" t="s">
        <v>232</v>
      </c>
      <c r="B274" s="2">
        <v>46082</v>
      </c>
      <c r="C274" t="s">
        <v>26</v>
      </c>
      <c r="D274" t="s">
        <v>27</v>
      </c>
      <c r="E274" t="s">
        <v>28</v>
      </c>
      <c r="F274" s="3">
        <v>3500</v>
      </c>
      <c r="G274" s="3">
        <v>3518</v>
      </c>
      <c r="H274" s="3">
        <v>3484</v>
      </c>
      <c r="I274" s="3">
        <v>3516</v>
      </c>
      <c r="J274" s="3">
        <v>500000</v>
      </c>
      <c r="K274" s="7" cm="1">
        <f t="array" ref="K274">IF(OR(C274="",B274="",I274=""),"",IFERROR((I274-_xlfn.XLOOKUP(1,(C$2:C$501=C274)*(B$2:B$501&lt;&gt;"")*(B$2:B$501=_xlfn.MAXIFS(B$2:B$501,C$2:C$501,C274,B$2:B$501,"&lt;"&amp;B274))*(I$2:I$501&lt;&gt;""),I$2:I$501))/_xlfn.XLOOKUP(1,(C$2:C$501=C274)*(B$2:B$501&lt;&gt;"")*(B$2:B$501=_xlfn.MAXIFS(B$2:B$501,C$2:C$501,C274,B$2:B$501,"&lt;"&amp;B274))*(I$2:I$501&lt;&gt;""),I$2:I$501),""))</f>
        <v>-3.9660056657223799E-3</v>
      </c>
    </row>
    <row r="275" spans="1:11">
      <c r="A275" t="s">
        <v>233</v>
      </c>
      <c r="B275" s="2">
        <v>46023</v>
      </c>
      <c r="C275" t="s">
        <v>43</v>
      </c>
      <c r="D275" t="s">
        <v>44</v>
      </c>
      <c r="E275" t="s">
        <v>23</v>
      </c>
      <c r="F275" s="3"/>
      <c r="G275" s="3"/>
      <c r="H275" s="3"/>
      <c r="I275" s="3"/>
      <c r="J275" s="3">
        <v>100000</v>
      </c>
      <c r="K275" s="7" t="str" cm="1">
        <f t="array" ref="K275">IF(OR(C275="",B275="",I275=""),"",IFERROR((I275-_xlfn.XLOOKUP(1,(C$2:C$501=C275)*(B$2:B$501&lt;&gt;"")*(B$2:B$501=_xlfn.MAXIFS(B$2:B$501,C$2:C$501,C275,B$2:B$501,"&lt;"&amp;B275))*(I$2:I$501&lt;&gt;""),I$2:I$501))/_xlfn.XLOOKUP(1,(C$2:C$501=C275)*(B$2:B$501&lt;&gt;"")*(B$2:B$501=_xlfn.MAXIFS(B$2:B$501,C$2:C$501,C275,B$2:B$501,"&lt;"&amp;B275))*(I$2:I$501&lt;&gt;""),I$2:I$501),""))</f>
        <v/>
      </c>
    </row>
    <row r="276" spans="1:11">
      <c r="A276" t="s">
        <v>234</v>
      </c>
      <c r="B276" s="2">
        <v>46023</v>
      </c>
      <c r="C276" t="s">
        <v>12</v>
      </c>
      <c r="D276" t="s">
        <v>13</v>
      </c>
      <c r="E276" t="s">
        <v>37</v>
      </c>
      <c r="F276" s="3"/>
      <c r="G276" s="3"/>
      <c r="H276" s="3"/>
      <c r="I276" s="3"/>
      <c r="J276" s="3">
        <v>250000</v>
      </c>
      <c r="K276" s="7" t="str" cm="1">
        <f t="array" ref="K276">IF(OR(C276="",B276="",I276=""),"",IFERROR((I276-_xlfn.XLOOKUP(1,(C$2:C$501=C276)*(B$2:B$501&lt;&gt;"")*(B$2:B$501=_xlfn.MAXIFS(B$2:B$501,C$2:C$501,C276,B$2:B$501,"&lt;"&amp;B276))*(I$2:I$501&lt;&gt;""),I$2:I$501))/_xlfn.XLOOKUP(1,(C$2:C$501=C276)*(B$2:B$501&lt;&gt;"")*(B$2:B$501=_xlfn.MAXIFS(B$2:B$501,C$2:C$501,C276,B$2:B$501,"&lt;"&amp;B276))*(I$2:I$501&lt;&gt;""),I$2:I$501),""))</f>
        <v/>
      </c>
    </row>
    <row r="277" spans="1:11">
      <c r="A277" t="s">
        <v>235</v>
      </c>
      <c r="B277" s="2">
        <v>46082</v>
      </c>
      <c r="C277" t="s">
        <v>43</v>
      </c>
      <c r="D277" t="s">
        <v>44</v>
      </c>
      <c r="E277" t="s">
        <v>23</v>
      </c>
      <c r="F277" s="3"/>
      <c r="G277" s="3"/>
      <c r="H277" s="3"/>
      <c r="I277" s="3"/>
      <c r="J277" s="3">
        <v>250000</v>
      </c>
      <c r="K277" s="7" t="str" cm="1">
        <f t="array" ref="K277">IF(OR(C277="",B277="",I277=""),"",IFERROR((I277-_xlfn.XLOOKUP(1,(C$2:C$501=C277)*(B$2:B$501&lt;&gt;"")*(B$2:B$501=_xlfn.MAXIFS(B$2:B$501,C$2:C$501,C277,B$2:B$501,"&lt;"&amp;B277))*(I$2:I$501&lt;&gt;""),I$2:I$501))/_xlfn.XLOOKUP(1,(C$2:C$501=C277)*(B$2:B$501&lt;&gt;"")*(B$2:B$501=_xlfn.MAXIFS(B$2:B$501,C$2:C$501,C277,B$2:B$501,"&lt;"&amp;B277))*(I$2:I$501&lt;&gt;""),I$2:I$501),""))</f>
        <v/>
      </c>
    </row>
    <row r="278" spans="1:11">
      <c r="A278" t="s">
        <v>236</v>
      </c>
      <c r="B278" s="2">
        <v>46054</v>
      </c>
      <c r="C278" t="s">
        <v>12</v>
      </c>
      <c r="D278" t="s">
        <v>13</v>
      </c>
      <c r="E278" t="s">
        <v>37</v>
      </c>
      <c r="F278" s="3">
        <v>2500</v>
      </c>
      <c r="G278" s="3">
        <v>2526</v>
      </c>
      <c r="H278" s="3">
        <v>2448</v>
      </c>
      <c r="I278" s="3">
        <v>2501</v>
      </c>
      <c r="J278" s="3"/>
      <c r="K278" s="7" cm="1">
        <f t="array" ref="K278">IF(OR(C278="",B278="",I278=""),"",IFERROR((I278-_xlfn.XLOOKUP(1,(C$2:C$501=C278)*(B$2:B$501&lt;&gt;"")*(B$2:B$501=_xlfn.MAXIFS(B$2:B$501,C$2:C$501,C278,B$2:B$501,"&lt;"&amp;B278))*(I$2:I$501&lt;&gt;""),I$2:I$501))/_xlfn.XLOOKUP(1,(C$2:C$501=C278)*(B$2:B$501&lt;&gt;"")*(B$2:B$501=_xlfn.MAXIFS(B$2:B$501,C$2:C$501,C278,B$2:B$501,"&lt;"&amp;B278))*(I$2:I$501&lt;&gt;""),I$2:I$501),""))</f>
        <v>1.1322280630812778E-2</v>
      </c>
    </row>
    <row r="279" spans="1:11">
      <c r="A279" t="s">
        <v>237</v>
      </c>
      <c r="B279" s="2">
        <v>46054</v>
      </c>
      <c r="C279" t="s">
        <v>12</v>
      </c>
      <c r="D279" t="s">
        <v>13</v>
      </c>
      <c r="E279" t="s">
        <v>37</v>
      </c>
      <c r="F279" s="3">
        <v>3500</v>
      </c>
      <c r="G279" s="3">
        <v>3539</v>
      </c>
      <c r="H279" s="3">
        <v>3490</v>
      </c>
      <c r="I279" s="3">
        <v>3519</v>
      </c>
      <c r="J279" s="3"/>
      <c r="K279" s="7" cm="1">
        <f t="array" ref="K279">IF(OR(C279="",B279="",I279=""),"",IFERROR((I279-_xlfn.XLOOKUP(1,(C$2:C$501=C279)*(B$2:B$501&lt;&gt;"")*(B$2:B$501=_xlfn.MAXIFS(B$2:B$501,C$2:C$501,C279,B$2:B$501,"&lt;"&amp;B279))*(I$2:I$501&lt;&gt;""),I$2:I$501))/_xlfn.XLOOKUP(1,(C$2:C$501=C279)*(B$2:B$501&lt;&gt;"")*(B$2:B$501=_xlfn.MAXIFS(B$2:B$501,C$2:C$501,C279,B$2:B$501,"&lt;"&amp;B279))*(I$2:I$501&lt;&gt;""),I$2:I$501),""))</f>
        <v>0.42296805499393447</v>
      </c>
    </row>
    <row r="280" spans="1:11">
      <c r="A280" t="s">
        <v>237</v>
      </c>
      <c r="C280" t="s">
        <v>43</v>
      </c>
      <c r="D280" t="s">
        <v>44</v>
      </c>
      <c r="E280" t="s">
        <v>23</v>
      </c>
      <c r="F280" s="3"/>
      <c r="G280" s="3"/>
      <c r="H280" s="3"/>
      <c r="I280" s="3"/>
      <c r="J280" s="3">
        <v>100000</v>
      </c>
      <c r="K280" s="7" t="str" cm="1">
        <f t="array" ref="K280">IF(OR(C280="",B280="",I280=""),"",IFERROR((I280-_xlfn.XLOOKUP(1,(C$2:C$501=C280)*(B$2:B$501&lt;&gt;"")*(B$2:B$501=_xlfn.MAXIFS(B$2:B$501,C$2:C$501,C280,B$2:B$501,"&lt;"&amp;B280))*(I$2:I$501&lt;&gt;""),I$2:I$501))/_xlfn.XLOOKUP(1,(C$2:C$501=C280)*(B$2:B$501&lt;&gt;"")*(B$2:B$501=_xlfn.MAXIFS(B$2:B$501,C$2:C$501,C280,B$2:B$501,"&lt;"&amp;B280))*(I$2:I$501&lt;&gt;""),I$2:I$501),""))</f>
        <v/>
      </c>
    </row>
    <row r="281" spans="1:11">
      <c r="A281" t="s">
        <v>238</v>
      </c>
      <c r="C281" t="s">
        <v>43</v>
      </c>
      <c r="D281" t="s">
        <v>44</v>
      </c>
      <c r="E281" t="s">
        <v>23</v>
      </c>
      <c r="F281" s="3">
        <v>2500</v>
      </c>
      <c r="G281" s="3">
        <v>2569</v>
      </c>
      <c r="H281" s="3">
        <v>2424</v>
      </c>
      <c r="I281" s="3">
        <v>2543</v>
      </c>
      <c r="J281" s="3">
        <v>250000</v>
      </c>
      <c r="K281" s="7" t="str" cm="1">
        <f t="array" ref="K281">IF(OR(C281="",B281="",I281=""),"",IFERROR((I281-_xlfn.XLOOKUP(1,(C$2:C$501=C281)*(B$2:B$501&lt;&gt;"")*(B$2:B$501=_xlfn.MAXIFS(B$2:B$501,C$2:C$501,C281,B$2:B$501,"&lt;"&amp;B281))*(I$2:I$501&lt;&gt;""),I$2:I$501))/_xlfn.XLOOKUP(1,(C$2:C$501=C281)*(B$2:B$501&lt;&gt;"")*(B$2:B$501=_xlfn.MAXIFS(B$2:B$501,C$2:C$501,C281,B$2:B$501,"&lt;"&amp;B281))*(I$2:I$501&lt;&gt;""),I$2:I$501),""))</f>
        <v/>
      </c>
    </row>
    <row r="282" spans="1:11">
      <c r="A282" t="s">
        <v>239</v>
      </c>
      <c r="B282" s="2">
        <v>46023</v>
      </c>
      <c r="C282" t="s">
        <v>12</v>
      </c>
      <c r="D282" t="s">
        <v>13</v>
      </c>
      <c r="E282" t="s">
        <v>37</v>
      </c>
      <c r="F282" s="3">
        <v>1000</v>
      </c>
      <c r="G282" s="3">
        <v>1080</v>
      </c>
      <c r="H282" s="3">
        <v>982</v>
      </c>
      <c r="I282" s="3">
        <v>1020</v>
      </c>
      <c r="J282" s="3">
        <v>500000</v>
      </c>
      <c r="K282" s="7" t="str" cm="1">
        <f t="array" ref="K282">IF(OR(C282="",B282="",I282=""),"",IFERROR((I282-_xlfn.XLOOKUP(1,(C$2:C$501=C282)*(B$2:B$501&lt;&gt;"")*(B$2:B$501=_xlfn.MAXIFS(B$2:B$501,C$2:C$501,C282,B$2:B$501,"&lt;"&amp;B282))*(I$2:I$501&lt;&gt;""),I$2:I$501))/_xlfn.XLOOKUP(1,(C$2:C$501=C282)*(B$2:B$501&lt;&gt;"")*(B$2:B$501=_xlfn.MAXIFS(B$2:B$501,C$2:C$501,C282,B$2:B$501,"&lt;"&amp;B282))*(I$2:I$501&lt;&gt;""),I$2:I$501),""))</f>
        <v/>
      </c>
    </row>
    <row r="283" spans="1:11">
      <c r="A283" t="s">
        <v>240</v>
      </c>
      <c r="C283" t="s">
        <v>16</v>
      </c>
      <c r="D283" t="s">
        <v>17</v>
      </c>
      <c r="E283" t="s">
        <v>18</v>
      </c>
      <c r="F283" s="3">
        <v>2500</v>
      </c>
      <c r="G283" s="3">
        <v>2579</v>
      </c>
      <c r="H283" s="3">
        <v>2452</v>
      </c>
      <c r="I283" s="3">
        <v>2492</v>
      </c>
      <c r="J283" s="3"/>
      <c r="K283" s="7" t="str" cm="1">
        <f t="array" ref="K283">IF(OR(C283="",B283="",I283=""),"",IFERROR((I283-_xlfn.XLOOKUP(1,(C$2:C$501=C283)*(B$2:B$501&lt;&gt;"")*(B$2:B$501=_xlfn.MAXIFS(B$2:B$501,C$2:C$501,C283,B$2:B$501,"&lt;"&amp;B283))*(I$2:I$501&lt;&gt;""),I$2:I$501))/_xlfn.XLOOKUP(1,(C$2:C$501=C283)*(B$2:B$501&lt;&gt;"")*(B$2:B$501=_xlfn.MAXIFS(B$2:B$501,C$2:C$501,C283,B$2:B$501,"&lt;"&amp;B283))*(I$2:I$501&lt;&gt;""),I$2:I$501),""))</f>
        <v/>
      </c>
    </row>
    <row r="284" spans="1:11">
      <c r="A284" t="s">
        <v>240</v>
      </c>
      <c r="B284" s="2">
        <v>46054</v>
      </c>
      <c r="C284" t="s">
        <v>22</v>
      </c>
      <c r="D284" t="s">
        <v>22</v>
      </c>
      <c r="E284" t="s">
        <v>23</v>
      </c>
      <c r="F284" s="3"/>
      <c r="G284" s="3"/>
      <c r="H284" s="3"/>
      <c r="I284" s="3"/>
      <c r="J284" s="3">
        <v>250000</v>
      </c>
      <c r="K284" s="7" t="str" cm="1">
        <f t="array" ref="K284">IF(OR(C284="",B284="",I284=""),"",IFERROR((I284-_xlfn.XLOOKUP(1,(C$2:C$501=C284)*(B$2:B$501&lt;&gt;"")*(B$2:B$501=_xlfn.MAXIFS(B$2:B$501,C$2:C$501,C284,B$2:B$501,"&lt;"&amp;B284))*(I$2:I$501&lt;&gt;""),I$2:I$501))/_xlfn.XLOOKUP(1,(C$2:C$501=C284)*(B$2:B$501&lt;&gt;"")*(B$2:B$501=_xlfn.MAXIFS(B$2:B$501,C$2:C$501,C284,B$2:B$501,"&lt;"&amp;B284))*(I$2:I$501&lt;&gt;""),I$2:I$501),""))</f>
        <v/>
      </c>
    </row>
    <row r="285" spans="1:11">
      <c r="A285" t="s">
        <v>241</v>
      </c>
      <c r="B285" s="2">
        <v>46023</v>
      </c>
      <c r="C285" t="s">
        <v>43</v>
      </c>
      <c r="D285" t="s">
        <v>44</v>
      </c>
      <c r="E285" t="s">
        <v>23</v>
      </c>
      <c r="F285" s="3"/>
      <c r="G285" s="3"/>
      <c r="H285" s="3"/>
      <c r="I285" s="3"/>
      <c r="J285" s="3">
        <v>500000</v>
      </c>
      <c r="K285" s="7" t="str" cm="1">
        <f t="array" ref="K285">IF(OR(C285="",B285="",I285=""),"",IFERROR((I285-_xlfn.XLOOKUP(1,(C$2:C$501=C285)*(B$2:B$501&lt;&gt;"")*(B$2:B$501=_xlfn.MAXIFS(B$2:B$501,C$2:C$501,C285,B$2:B$501,"&lt;"&amp;B285))*(I$2:I$501&lt;&gt;""),I$2:I$501))/_xlfn.XLOOKUP(1,(C$2:C$501=C285)*(B$2:B$501&lt;&gt;"")*(B$2:B$501=_xlfn.MAXIFS(B$2:B$501,C$2:C$501,C285,B$2:B$501,"&lt;"&amp;B285))*(I$2:I$501&lt;&gt;""),I$2:I$501),""))</f>
        <v/>
      </c>
    </row>
    <row r="286" spans="1:11">
      <c r="A286" t="s">
        <v>242</v>
      </c>
      <c r="B286" s="2">
        <v>46082</v>
      </c>
      <c r="C286" t="s">
        <v>43</v>
      </c>
      <c r="D286" t="s">
        <v>44</v>
      </c>
      <c r="E286" t="s">
        <v>23</v>
      </c>
      <c r="F286" s="3">
        <v>2500</v>
      </c>
      <c r="G286" s="3">
        <v>2584</v>
      </c>
      <c r="H286" s="3">
        <v>2453</v>
      </c>
      <c r="I286" s="3">
        <v>2497</v>
      </c>
      <c r="J286" s="3">
        <v>500000</v>
      </c>
      <c r="K286" s="7" cm="1">
        <f t="array" ref="K286">IF(OR(C286="",B286="",I286=""),"",IFERROR((I286-_xlfn.XLOOKUP(1,(C$2:C$501=C286)*(B$2:B$501&lt;&gt;"")*(B$2:B$501=_xlfn.MAXIFS(B$2:B$501,C$2:C$501,C286,B$2:B$501,"&lt;"&amp;B286))*(I$2:I$501&lt;&gt;""),I$2:I$501))/_xlfn.XLOOKUP(1,(C$2:C$501=C286)*(B$2:B$501&lt;&gt;"")*(B$2:B$501=_xlfn.MAXIFS(B$2:B$501,C$2:C$501,C286,B$2:B$501,"&lt;"&amp;B286))*(I$2:I$501&lt;&gt;""),I$2:I$501),""))</f>
        <v>1.4009615384615384</v>
      </c>
    </row>
    <row r="287" spans="1:11">
      <c r="A287" t="s">
        <v>242</v>
      </c>
      <c r="B287" s="2">
        <v>46082</v>
      </c>
      <c r="C287" t="s">
        <v>43</v>
      </c>
      <c r="D287" t="s">
        <v>44</v>
      </c>
      <c r="E287" t="s">
        <v>23</v>
      </c>
      <c r="F287" s="3">
        <v>1000</v>
      </c>
      <c r="G287" s="3">
        <v>1033</v>
      </c>
      <c r="H287" s="3">
        <v>958</v>
      </c>
      <c r="I287" s="3">
        <v>963</v>
      </c>
      <c r="J287" s="3">
        <v>250000</v>
      </c>
      <c r="K287" s="7" cm="1">
        <f t="array" ref="K287">IF(OR(C287="",B287="",I287=""),"",IFERROR((I287-_xlfn.XLOOKUP(1,(C$2:C$501=C287)*(B$2:B$501&lt;&gt;"")*(B$2:B$501=_xlfn.MAXIFS(B$2:B$501,C$2:C$501,C287,B$2:B$501,"&lt;"&amp;B287))*(I$2:I$501&lt;&gt;""),I$2:I$501))/_xlfn.XLOOKUP(1,(C$2:C$501=C287)*(B$2:B$501&lt;&gt;"")*(B$2:B$501=_xlfn.MAXIFS(B$2:B$501,C$2:C$501,C287,B$2:B$501,"&lt;"&amp;B287))*(I$2:I$501&lt;&gt;""),I$2:I$501),""))</f>
        <v>-7.4038461538461539E-2</v>
      </c>
    </row>
    <row r="288" spans="1:11">
      <c r="A288" t="s">
        <v>243</v>
      </c>
      <c r="C288" t="s">
        <v>26</v>
      </c>
      <c r="D288" t="s">
        <v>27</v>
      </c>
      <c r="E288" t="s">
        <v>28</v>
      </c>
      <c r="F288" s="3">
        <v>3500</v>
      </c>
      <c r="G288" s="3">
        <v>3522</v>
      </c>
      <c r="H288" s="3">
        <v>3421</v>
      </c>
      <c r="I288" s="3">
        <v>3485</v>
      </c>
      <c r="J288" s="3">
        <v>250000</v>
      </c>
      <c r="K288" s="7" t="str" cm="1">
        <f t="array" ref="K288">IF(OR(C288="",B288="",I288=""),"",IFERROR((I288-_xlfn.XLOOKUP(1,(C$2:C$501=C288)*(B$2:B$501&lt;&gt;"")*(B$2:B$501=_xlfn.MAXIFS(B$2:B$501,C$2:C$501,C288,B$2:B$501,"&lt;"&amp;B288))*(I$2:I$501&lt;&gt;""),I$2:I$501))/_xlfn.XLOOKUP(1,(C$2:C$501=C288)*(B$2:B$501&lt;&gt;"")*(B$2:B$501=_xlfn.MAXIFS(B$2:B$501,C$2:C$501,C288,B$2:B$501,"&lt;"&amp;B288))*(I$2:I$501&lt;&gt;""),I$2:I$501),""))</f>
        <v/>
      </c>
    </row>
    <row r="289" spans="1:11">
      <c r="A289" t="s">
        <v>243</v>
      </c>
      <c r="B289" s="2">
        <v>46082</v>
      </c>
      <c r="C289" t="s">
        <v>26</v>
      </c>
      <c r="D289" t="s">
        <v>27</v>
      </c>
      <c r="E289" t="s">
        <v>28</v>
      </c>
      <c r="F289" s="3">
        <v>3500</v>
      </c>
      <c r="G289" s="3">
        <v>3529</v>
      </c>
      <c r="H289" s="3">
        <v>3424</v>
      </c>
      <c r="I289" s="3">
        <v>3542</v>
      </c>
      <c r="J289" s="3">
        <v>500000</v>
      </c>
      <c r="K289" s="7" cm="1">
        <f t="array" ref="K289">IF(OR(C289="",B289="",I289=""),"",IFERROR((I289-_xlfn.XLOOKUP(1,(C$2:C$501=C289)*(B$2:B$501&lt;&gt;"")*(B$2:B$501=_xlfn.MAXIFS(B$2:B$501,C$2:C$501,C289,B$2:B$501,"&lt;"&amp;B289))*(I$2:I$501&lt;&gt;""),I$2:I$501))/_xlfn.XLOOKUP(1,(C$2:C$501=C289)*(B$2:B$501&lt;&gt;"")*(B$2:B$501=_xlfn.MAXIFS(B$2:B$501,C$2:C$501,C289,B$2:B$501,"&lt;"&amp;B289))*(I$2:I$501&lt;&gt;""),I$2:I$501),""))</f>
        <v>3.3994334277620396E-3</v>
      </c>
    </row>
    <row r="290" spans="1:11">
      <c r="A290" t="s">
        <v>244</v>
      </c>
      <c r="B290" s="2">
        <v>46023</v>
      </c>
      <c r="C290" t="s">
        <v>12</v>
      </c>
      <c r="D290" t="s">
        <v>13</v>
      </c>
      <c r="E290" t="s">
        <v>37</v>
      </c>
      <c r="F290" s="3">
        <v>2500</v>
      </c>
      <c r="G290" s="3">
        <v>2574</v>
      </c>
      <c r="H290" s="3">
        <v>2454</v>
      </c>
      <c r="I290" s="3">
        <v>2511</v>
      </c>
      <c r="J290" s="3">
        <v>250000</v>
      </c>
      <c r="K290" s="7" t="str" cm="1">
        <f t="array" ref="K290">IF(OR(C290="",B290="",I290=""),"",IFERROR((I290-_xlfn.XLOOKUP(1,(C$2:C$501=C290)*(B$2:B$501&lt;&gt;"")*(B$2:B$501=_xlfn.MAXIFS(B$2:B$501,C$2:C$501,C290,B$2:B$501,"&lt;"&amp;B290))*(I$2:I$501&lt;&gt;""),I$2:I$501))/_xlfn.XLOOKUP(1,(C$2:C$501=C290)*(B$2:B$501&lt;&gt;"")*(B$2:B$501=_xlfn.MAXIFS(B$2:B$501,C$2:C$501,C290,B$2:B$501,"&lt;"&amp;B290))*(I$2:I$501&lt;&gt;""),I$2:I$501),""))</f>
        <v/>
      </c>
    </row>
    <row r="291" spans="1:11">
      <c r="A291" t="s">
        <v>245</v>
      </c>
      <c r="C291" t="s">
        <v>26</v>
      </c>
      <c r="D291" t="s">
        <v>27</v>
      </c>
      <c r="E291" t="s">
        <v>28</v>
      </c>
      <c r="F291" s="3">
        <v>2500</v>
      </c>
      <c r="G291" s="3">
        <v>2556</v>
      </c>
      <c r="H291" s="3">
        <v>2445</v>
      </c>
      <c r="I291" s="3">
        <v>2547</v>
      </c>
      <c r="J291" s="3">
        <v>500000</v>
      </c>
      <c r="K291" s="7" t="str" cm="1">
        <f t="array" ref="K291">IF(OR(C291="",B291="",I291=""),"",IFERROR((I291-_xlfn.XLOOKUP(1,(C$2:C$501=C291)*(B$2:B$501&lt;&gt;"")*(B$2:B$501=_xlfn.MAXIFS(B$2:B$501,C$2:C$501,C291,B$2:B$501,"&lt;"&amp;B291))*(I$2:I$501&lt;&gt;""),I$2:I$501))/_xlfn.XLOOKUP(1,(C$2:C$501=C291)*(B$2:B$501&lt;&gt;"")*(B$2:B$501=_xlfn.MAXIFS(B$2:B$501,C$2:C$501,C291,B$2:B$501,"&lt;"&amp;B291))*(I$2:I$501&lt;&gt;""),I$2:I$501),""))</f>
        <v/>
      </c>
    </row>
    <row r="292" spans="1:11">
      <c r="A292" t="s">
        <v>246</v>
      </c>
      <c r="B292" s="2">
        <v>46054</v>
      </c>
      <c r="C292" t="s">
        <v>12</v>
      </c>
      <c r="D292" t="s">
        <v>13</v>
      </c>
      <c r="E292" t="s">
        <v>37</v>
      </c>
      <c r="F292" s="3">
        <v>3500</v>
      </c>
      <c r="G292" s="3">
        <v>3566</v>
      </c>
      <c r="H292" s="3">
        <v>3459</v>
      </c>
      <c r="I292" s="3">
        <v>3463</v>
      </c>
      <c r="J292" s="3">
        <v>500000</v>
      </c>
      <c r="K292" s="7" cm="1">
        <f t="array" ref="K292">IF(OR(C292="",B292="",I292=""),"",IFERROR((I292-_xlfn.XLOOKUP(1,(C$2:C$501=C292)*(B$2:B$501&lt;&gt;"")*(B$2:B$501=_xlfn.MAXIFS(B$2:B$501,C$2:C$501,C292,B$2:B$501,"&lt;"&amp;B292))*(I$2:I$501&lt;&gt;""),I$2:I$501))/_xlfn.XLOOKUP(1,(C$2:C$501=C292)*(B$2:B$501&lt;&gt;"")*(B$2:B$501=_xlfn.MAXIFS(B$2:B$501,C$2:C$501,C292,B$2:B$501,"&lt;"&amp;B292))*(I$2:I$501&lt;&gt;""),I$2:I$501),""))</f>
        <v>0.40032349373230891</v>
      </c>
    </row>
    <row r="293" spans="1:11">
      <c r="A293" t="s">
        <v>247</v>
      </c>
      <c r="B293" s="2">
        <v>46082</v>
      </c>
      <c r="C293" t="s">
        <v>26</v>
      </c>
      <c r="D293" t="s">
        <v>27</v>
      </c>
      <c r="E293" t="s">
        <v>28</v>
      </c>
      <c r="F293" s="3">
        <v>3500</v>
      </c>
      <c r="G293" s="3">
        <v>3599</v>
      </c>
      <c r="H293" s="3">
        <v>3464</v>
      </c>
      <c r="I293" s="3">
        <v>3518</v>
      </c>
      <c r="J293" s="3"/>
      <c r="K293" s="7" cm="1">
        <f t="array" ref="K293">IF(OR(C293="",B293="",I293=""),"",IFERROR((I293-_xlfn.XLOOKUP(1,(C$2:C$501=C293)*(B$2:B$501&lt;&gt;"")*(B$2:B$501=_xlfn.MAXIFS(B$2:B$501,C$2:C$501,C293,B$2:B$501,"&lt;"&amp;B293))*(I$2:I$501&lt;&gt;""),I$2:I$501))/_xlfn.XLOOKUP(1,(C$2:C$501=C293)*(B$2:B$501&lt;&gt;"")*(B$2:B$501=_xlfn.MAXIFS(B$2:B$501,C$2:C$501,C293,B$2:B$501,"&lt;"&amp;B293))*(I$2:I$501&lt;&gt;""),I$2:I$501),""))</f>
        <v>-3.3994334277620396E-3</v>
      </c>
    </row>
    <row r="294" spans="1:11">
      <c r="A294" t="s">
        <v>248</v>
      </c>
      <c r="C294" t="s">
        <v>16</v>
      </c>
      <c r="D294" t="s">
        <v>17</v>
      </c>
      <c r="E294" t="s">
        <v>18</v>
      </c>
      <c r="F294" s="3">
        <v>3500</v>
      </c>
      <c r="G294" s="3">
        <v>3588</v>
      </c>
      <c r="H294" s="3">
        <v>3475</v>
      </c>
      <c r="I294" s="3">
        <v>3450</v>
      </c>
      <c r="J294" s="3">
        <v>500000</v>
      </c>
      <c r="K294" s="7" t="str" cm="1">
        <f t="array" ref="K294">IF(OR(C294="",B294="",I294=""),"",IFERROR((I294-_xlfn.XLOOKUP(1,(C$2:C$501=C294)*(B$2:B$501&lt;&gt;"")*(B$2:B$501=_xlfn.MAXIFS(B$2:B$501,C$2:C$501,C294,B$2:B$501,"&lt;"&amp;B294))*(I$2:I$501&lt;&gt;""),I$2:I$501))/_xlfn.XLOOKUP(1,(C$2:C$501=C294)*(B$2:B$501&lt;&gt;"")*(B$2:B$501=_xlfn.MAXIFS(B$2:B$501,C$2:C$501,C294,B$2:B$501,"&lt;"&amp;B294))*(I$2:I$501&lt;&gt;""),I$2:I$501),""))</f>
        <v/>
      </c>
    </row>
    <row r="295" spans="1:11">
      <c r="A295" t="s">
        <v>248</v>
      </c>
      <c r="C295" t="s">
        <v>16</v>
      </c>
      <c r="D295" t="s">
        <v>17</v>
      </c>
      <c r="E295" t="s">
        <v>18</v>
      </c>
      <c r="F295" s="3">
        <v>2500</v>
      </c>
      <c r="G295" s="3">
        <v>2530</v>
      </c>
      <c r="H295" s="3">
        <v>2436</v>
      </c>
      <c r="I295" s="3">
        <v>2537</v>
      </c>
      <c r="J295" s="3">
        <v>500000</v>
      </c>
      <c r="K295" s="7" t="str" cm="1">
        <f t="array" ref="K295">IF(OR(C295="",B295="",I295=""),"",IFERROR((I295-_xlfn.XLOOKUP(1,(C$2:C$501=C295)*(B$2:B$501&lt;&gt;"")*(B$2:B$501=_xlfn.MAXIFS(B$2:B$501,C$2:C$501,C295,B$2:B$501,"&lt;"&amp;B295))*(I$2:I$501&lt;&gt;""),I$2:I$501))/_xlfn.XLOOKUP(1,(C$2:C$501=C295)*(B$2:B$501&lt;&gt;"")*(B$2:B$501=_xlfn.MAXIFS(B$2:B$501,C$2:C$501,C295,B$2:B$501,"&lt;"&amp;B295))*(I$2:I$501&lt;&gt;""),I$2:I$501),""))</f>
        <v/>
      </c>
    </row>
    <row r="296" spans="1:11">
      <c r="A296" t="s">
        <v>249</v>
      </c>
      <c r="C296" t="s">
        <v>12</v>
      </c>
      <c r="D296" t="s">
        <v>13</v>
      </c>
      <c r="E296" t="s">
        <v>37</v>
      </c>
      <c r="F296" s="3">
        <v>1000</v>
      </c>
      <c r="G296" s="3">
        <v>1012</v>
      </c>
      <c r="H296" s="3">
        <v>965</v>
      </c>
      <c r="I296" s="3">
        <v>975</v>
      </c>
      <c r="J296" s="3">
        <v>100000</v>
      </c>
      <c r="K296" s="7" t="str" cm="1">
        <f t="array" ref="K296">IF(OR(C296="",B296="",I296=""),"",IFERROR((I296-_xlfn.XLOOKUP(1,(C$2:C$501=C296)*(B$2:B$501&lt;&gt;"")*(B$2:B$501=_xlfn.MAXIFS(B$2:B$501,C$2:C$501,C296,B$2:B$501,"&lt;"&amp;B296))*(I$2:I$501&lt;&gt;""),I$2:I$501))/_xlfn.XLOOKUP(1,(C$2:C$501=C296)*(B$2:B$501&lt;&gt;"")*(B$2:B$501=_xlfn.MAXIFS(B$2:B$501,C$2:C$501,C296,B$2:B$501,"&lt;"&amp;B296))*(I$2:I$501&lt;&gt;""),I$2:I$501),""))</f>
        <v/>
      </c>
    </row>
    <row r="297" spans="1:11">
      <c r="A297" t="s">
        <v>250</v>
      </c>
      <c r="B297" s="2">
        <v>46023</v>
      </c>
      <c r="C297" t="s">
        <v>16</v>
      </c>
      <c r="D297" t="s">
        <v>17</v>
      </c>
      <c r="E297" t="s">
        <v>18</v>
      </c>
      <c r="F297" s="3">
        <v>1000</v>
      </c>
      <c r="G297" s="3">
        <v>1026</v>
      </c>
      <c r="H297" s="3">
        <v>949</v>
      </c>
      <c r="I297" s="3">
        <v>1046</v>
      </c>
      <c r="J297" s="3"/>
      <c r="K297" s="7" t="str" cm="1">
        <f t="array" ref="K297">IF(OR(C297="",B297="",I297=""),"",IFERROR((I297-_xlfn.XLOOKUP(1,(C$2:C$501=C297)*(B$2:B$501&lt;&gt;"")*(B$2:B$501=_xlfn.MAXIFS(B$2:B$501,C$2:C$501,C297,B$2:B$501,"&lt;"&amp;B297))*(I$2:I$501&lt;&gt;""),I$2:I$501))/_xlfn.XLOOKUP(1,(C$2:C$501=C297)*(B$2:B$501&lt;&gt;"")*(B$2:B$501=_xlfn.MAXIFS(B$2:B$501,C$2:C$501,C297,B$2:B$501,"&lt;"&amp;B297))*(I$2:I$501&lt;&gt;""),I$2:I$501),""))</f>
        <v/>
      </c>
    </row>
    <row r="298" spans="1:11">
      <c r="A298" t="s">
        <v>251</v>
      </c>
      <c r="C298" t="s">
        <v>12</v>
      </c>
      <c r="D298" t="s">
        <v>13</v>
      </c>
      <c r="E298" t="s">
        <v>37</v>
      </c>
      <c r="F298" s="3">
        <v>3500</v>
      </c>
      <c r="G298" s="3">
        <v>3530</v>
      </c>
      <c r="H298" s="3">
        <v>3459</v>
      </c>
      <c r="I298" s="3">
        <v>3494</v>
      </c>
      <c r="J298" s="3">
        <v>250000</v>
      </c>
      <c r="K298" s="7" t="str" cm="1">
        <f t="array" ref="K298">IF(OR(C298="",B298="",I298=""),"",IFERROR((I298-_xlfn.XLOOKUP(1,(C$2:C$501=C298)*(B$2:B$501&lt;&gt;"")*(B$2:B$501=_xlfn.MAXIFS(B$2:B$501,C$2:C$501,C298,B$2:B$501,"&lt;"&amp;B298))*(I$2:I$501&lt;&gt;""),I$2:I$501))/_xlfn.XLOOKUP(1,(C$2:C$501=C298)*(B$2:B$501&lt;&gt;"")*(B$2:B$501=_xlfn.MAXIFS(B$2:B$501,C$2:C$501,C298,B$2:B$501,"&lt;"&amp;B298))*(I$2:I$501&lt;&gt;""),I$2:I$501),""))</f>
        <v/>
      </c>
    </row>
    <row r="299" spans="1:11">
      <c r="A299" t="s">
        <v>252</v>
      </c>
      <c r="C299" t="s">
        <v>12</v>
      </c>
      <c r="D299" t="s">
        <v>13</v>
      </c>
      <c r="E299" t="s">
        <v>37</v>
      </c>
      <c r="F299" s="3">
        <v>2500</v>
      </c>
      <c r="G299" s="3">
        <v>2556</v>
      </c>
      <c r="H299" s="3">
        <v>2462</v>
      </c>
      <c r="I299" s="3">
        <v>2468</v>
      </c>
      <c r="J299" s="3">
        <v>500000</v>
      </c>
      <c r="K299" s="7" t="str" cm="1">
        <f t="array" ref="K299">IF(OR(C299="",B299="",I299=""),"",IFERROR((I299-_xlfn.XLOOKUP(1,(C$2:C$501=C299)*(B$2:B$501&lt;&gt;"")*(B$2:B$501=_xlfn.MAXIFS(B$2:B$501,C$2:C$501,C299,B$2:B$501,"&lt;"&amp;B299))*(I$2:I$501&lt;&gt;""),I$2:I$501))/_xlfn.XLOOKUP(1,(C$2:C$501=C299)*(B$2:B$501&lt;&gt;"")*(B$2:B$501=_xlfn.MAXIFS(B$2:B$501,C$2:C$501,C299,B$2:B$501,"&lt;"&amp;B299))*(I$2:I$501&lt;&gt;""),I$2:I$501),""))</f>
        <v/>
      </c>
    </row>
    <row r="300" spans="1:11">
      <c r="A300" t="s">
        <v>253</v>
      </c>
      <c r="C300" t="s">
        <v>16</v>
      </c>
      <c r="D300" t="s">
        <v>17</v>
      </c>
      <c r="E300" t="s">
        <v>18</v>
      </c>
      <c r="F300" s="3"/>
      <c r="G300" s="3"/>
      <c r="H300" s="3"/>
      <c r="I300" s="3"/>
      <c r="J300" s="3">
        <v>250000</v>
      </c>
      <c r="K300" s="7" t="str" cm="1">
        <f t="array" ref="K300">IF(OR(C300="",B300="",I300=""),"",IFERROR((I300-_xlfn.XLOOKUP(1,(C$2:C$501=C300)*(B$2:B$501&lt;&gt;"")*(B$2:B$501=_xlfn.MAXIFS(B$2:B$501,C$2:C$501,C300,B$2:B$501,"&lt;"&amp;B300))*(I$2:I$501&lt;&gt;""),I$2:I$501))/_xlfn.XLOOKUP(1,(C$2:C$501=C300)*(B$2:B$501&lt;&gt;"")*(B$2:B$501=_xlfn.MAXIFS(B$2:B$501,C$2:C$501,C300,B$2:B$501,"&lt;"&amp;B300))*(I$2:I$501&lt;&gt;""),I$2:I$501),""))</f>
        <v/>
      </c>
    </row>
    <row r="301" spans="1:11">
      <c r="A301" t="s">
        <v>254</v>
      </c>
      <c r="B301" s="2">
        <v>46054</v>
      </c>
      <c r="C301" t="s">
        <v>26</v>
      </c>
      <c r="D301" t="s">
        <v>27</v>
      </c>
      <c r="E301" t="s">
        <v>28</v>
      </c>
      <c r="F301" s="3"/>
      <c r="G301" s="3"/>
      <c r="H301" s="3"/>
      <c r="I301" s="3"/>
      <c r="J301" s="3">
        <v>100000</v>
      </c>
      <c r="K301" s="7" t="str" cm="1">
        <f t="array" ref="K301">IF(OR(C301="",B301="",I301=""),"",IFERROR((I301-_xlfn.XLOOKUP(1,(C$2:C$501=C301)*(B$2:B$501&lt;&gt;"")*(B$2:B$501=_xlfn.MAXIFS(B$2:B$501,C$2:C$501,C301,B$2:B$501,"&lt;"&amp;B301))*(I$2:I$501&lt;&gt;""),I$2:I$501))/_xlfn.XLOOKUP(1,(C$2:C$501=C301)*(B$2:B$501&lt;&gt;"")*(B$2:B$501=_xlfn.MAXIFS(B$2:B$501,C$2:C$501,C301,B$2:B$501,"&lt;"&amp;B301))*(I$2:I$501&lt;&gt;""),I$2:I$501),""))</f>
        <v/>
      </c>
    </row>
    <row r="302" spans="1:11">
      <c r="A302" t="s">
        <v>255</v>
      </c>
      <c r="B302" s="2">
        <v>46082</v>
      </c>
      <c r="C302" t="s">
        <v>43</v>
      </c>
      <c r="D302" t="s">
        <v>44</v>
      </c>
      <c r="E302" t="s">
        <v>23</v>
      </c>
      <c r="F302" s="3">
        <v>2500</v>
      </c>
      <c r="G302" s="3">
        <v>2510</v>
      </c>
      <c r="H302" s="3">
        <v>2484</v>
      </c>
      <c r="I302" s="3">
        <v>2519</v>
      </c>
      <c r="J302" s="3">
        <v>250000</v>
      </c>
      <c r="K302" s="7" cm="1">
        <f t="array" ref="K302">IF(OR(C302="",B302="",I302=""),"",IFERROR((I302-_xlfn.XLOOKUP(1,(C$2:C$501=C302)*(B$2:B$501&lt;&gt;"")*(B$2:B$501=_xlfn.MAXIFS(B$2:B$501,C$2:C$501,C302,B$2:B$501,"&lt;"&amp;B302))*(I$2:I$501&lt;&gt;""),I$2:I$501))/_xlfn.XLOOKUP(1,(C$2:C$501=C302)*(B$2:B$501&lt;&gt;"")*(B$2:B$501=_xlfn.MAXIFS(B$2:B$501,C$2:C$501,C302,B$2:B$501,"&lt;"&amp;B302))*(I$2:I$501&lt;&gt;""),I$2:I$501),""))</f>
        <v>1.4221153846153847</v>
      </c>
    </row>
    <row r="303" spans="1:11">
      <c r="A303" t="s">
        <v>255</v>
      </c>
      <c r="B303" s="2">
        <v>46082</v>
      </c>
      <c r="C303" t="s">
        <v>22</v>
      </c>
      <c r="D303" t="s">
        <v>22</v>
      </c>
      <c r="E303" t="s">
        <v>23</v>
      </c>
      <c r="F303" s="3">
        <v>3500</v>
      </c>
      <c r="G303" s="3">
        <v>3600</v>
      </c>
      <c r="H303" s="3">
        <v>3472</v>
      </c>
      <c r="I303" s="3">
        <v>3523</v>
      </c>
      <c r="J303" s="3">
        <v>250000</v>
      </c>
      <c r="K303" s="7" cm="1">
        <f t="array" ref="K303">IF(OR(C303="",B303="",I303=""),"",IFERROR((I303-_xlfn.XLOOKUP(1,(C$2:C$501=C303)*(B$2:B$501&lt;&gt;"")*(B$2:B$501=_xlfn.MAXIFS(B$2:B$501,C$2:C$501,C303,B$2:B$501,"&lt;"&amp;B303))*(I$2:I$501&lt;&gt;""),I$2:I$501))/_xlfn.XLOOKUP(1,(C$2:C$501=C303)*(B$2:B$501&lt;&gt;"")*(B$2:B$501=_xlfn.MAXIFS(B$2:B$501,C$2:C$501,C303,B$2:B$501,"&lt;"&amp;B303))*(I$2:I$501&lt;&gt;""),I$2:I$501),""))</f>
        <v>-8.5082246171298923E-4</v>
      </c>
    </row>
    <row r="304" spans="1:11">
      <c r="A304" t="s">
        <v>256</v>
      </c>
      <c r="B304" s="2">
        <v>46054</v>
      </c>
      <c r="C304" t="s">
        <v>43</v>
      </c>
      <c r="D304" t="s">
        <v>44</v>
      </c>
      <c r="E304" t="s">
        <v>23</v>
      </c>
      <c r="F304" s="3">
        <v>1000</v>
      </c>
      <c r="G304" s="3">
        <v>1048</v>
      </c>
      <c r="H304" s="3">
        <v>920</v>
      </c>
      <c r="I304" s="3">
        <v>1032</v>
      </c>
      <c r="J304" s="3">
        <v>250000</v>
      </c>
      <c r="K304" s="7" cm="1">
        <f t="array" ref="K304">IF(OR(C304="",B304="",I304=""),"",IFERROR((I304-_xlfn.XLOOKUP(1,(C$2:C$501=C304)*(B$2:B$501&lt;&gt;"")*(B$2:B$501=_xlfn.MAXIFS(B$2:B$501,C$2:C$501,C304,B$2:B$501,"&lt;"&amp;B304))*(I$2:I$501&lt;&gt;""),I$2:I$501))/_xlfn.XLOOKUP(1,(C$2:C$501=C304)*(B$2:B$501&lt;&gt;"")*(B$2:B$501=_xlfn.MAXIFS(B$2:B$501,C$2:C$501,C304,B$2:B$501,"&lt;"&amp;B304))*(I$2:I$501&lt;&gt;""),I$2:I$501),""))</f>
        <v>-0.58470824949698186</v>
      </c>
    </row>
    <row r="305" spans="1:11">
      <c r="A305" t="s">
        <v>257</v>
      </c>
      <c r="B305" s="2">
        <v>46023</v>
      </c>
      <c r="C305" t="s">
        <v>12</v>
      </c>
      <c r="D305" t="s">
        <v>13</v>
      </c>
      <c r="E305" t="s">
        <v>37</v>
      </c>
      <c r="F305" s="3">
        <v>2500</v>
      </c>
      <c r="G305" s="3">
        <v>2590</v>
      </c>
      <c r="H305" s="3">
        <v>2443</v>
      </c>
      <c r="I305" s="3">
        <v>2523</v>
      </c>
      <c r="J305" s="3">
        <v>250000</v>
      </c>
      <c r="K305" s="7" t="str" cm="1">
        <f t="array" ref="K305">IF(OR(C305="",B305="",I305=""),"",IFERROR((I305-_xlfn.XLOOKUP(1,(C$2:C$501=C305)*(B$2:B$501&lt;&gt;"")*(B$2:B$501=_xlfn.MAXIFS(B$2:B$501,C$2:C$501,C305,B$2:B$501,"&lt;"&amp;B305))*(I$2:I$501&lt;&gt;""),I$2:I$501))/_xlfn.XLOOKUP(1,(C$2:C$501=C305)*(B$2:B$501&lt;&gt;"")*(B$2:B$501=_xlfn.MAXIFS(B$2:B$501,C$2:C$501,C305,B$2:B$501,"&lt;"&amp;B305))*(I$2:I$501&lt;&gt;""),I$2:I$501),""))</f>
        <v/>
      </c>
    </row>
    <row r="306" spans="1:11">
      <c r="A306" t="s">
        <v>258</v>
      </c>
      <c r="B306" s="2">
        <v>46082</v>
      </c>
      <c r="C306" t="s">
        <v>26</v>
      </c>
      <c r="D306" t="s">
        <v>27</v>
      </c>
      <c r="E306" t="s">
        <v>28</v>
      </c>
      <c r="F306" s="3">
        <v>2500</v>
      </c>
      <c r="G306" s="3">
        <v>2539</v>
      </c>
      <c r="H306" s="3">
        <v>2437</v>
      </c>
      <c r="I306" s="3">
        <v>2532</v>
      </c>
      <c r="J306" s="3">
        <v>250000</v>
      </c>
      <c r="K306" s="7" cm="1">
        <f t="array" ref="K306">IF(OR(C306="",B306="",I306=""),"",IFERROR((I306-_xlfn.XLOOKUP(1,(C$2:C$501=C306)*(B$2:B$501&lt;&gt;"")*(B$2:B$501=_xlfn.MAXIFS(B$2:B$501,C$2:C$501,C306,B$2:B$501,"&lt;"&amp;B306))*(I$2:I$501&lt;&gt;""),I$2:I$501))/_xlfn.XLOOKUP(1,(C$2:C$501=C306)*(B$2:B$501&lt;&gt;"")*(B$2:B$501=_xlfn.MAXIFS(B$2:B$501,C$2:C$501,C306,B$2:B$501,"&lt;"&amp;B306))*(I$2:I$501&lt;&gt;""),I$2:I$501),""))</f>
        <v>-0.28271954674220962</v>
      </c>
    </row>
    <row r="307" spans="1:11">
      <c r="A307" t="s">
        <v>259</v>
      </c>
      <c r="B307" s="2">
        <v>46023</v>
      </c>
      <c r="C307" t="s">
        <v>26</v>
      </c>
      <c r="D307" t="s">
        <v>27</v>
      </c>
      <c r="E307" t="s">
        <v>28</v>
      </c>
      <c r="F307" s="3">
        <v>1000</v>
      </c>
      <c r="G307" s="3">
        <v>1069</v>
      </c>
      <c r="H307" s="3">
        <v>986</v>
      </c>
      <c r="I307" s="3">
        <v>1040</v>
      </c>
      <c r="J307" s="3"/>
      <c r="K307" s="7" t="str" cm="1">
        <f t="array" ref="K307">IF(OR(C307="",B307="",I307=""),"",IFERROR((I307-_xlfn.XLOOKUP(1,(C$2:C$501=C307)*(B$2:B$501&lt;&gt;"")*(B$2:B$501=_xlfn.MAXIFS(B$2:B$501,C$2:C$501,C307,B$2:B$501,"&lt;"&amp;B307))*(I$2:I$501&lt;&gt;""),I$2:I$501))/_xlfn.XLOOKUP(1,(C$2:C$501=C307)*(B$2:B$501&lt;&gt;"")*(B$2:B$501=_xlfn.MAXIFS(B$2:B$501,C$2:C$501,C307,B$2:B$501,"&lt;"&amp;B307))*(I$2:I$501&lt;&gt;""),I$2:I$501),""))</f>
        <v/>
      </c>
    </row>
    <row r="308" spans="1:11">
      <c r="A308" t="s">
        <v>260</v>
      </c>
      <c r="C308" t="s">
        <v>12</v>
      </c>
      <c r="D308" t="s">
        <v>13</v>
      </c>
      <c r="E308" t="s">
        <v>37</v>
      </c>
      <c r="F308" s="3">
        <v>3500</v>
      </c>
      <c r="G308" s="3">
        <v>3567</v>
      </c>
      <c r="H308" s="3">
        <v>3464</v>
      </c>
      <c r="I308" s="3">
        <v>3511</v>
      </c>
      <c r="J308" s="3"/>
      <c r="K308" s="7" t="str" cm="1">
        <f t="array" ref="K308">IF(OR(C308="",B308="",I308=""),"",IFERROR((I308-_xlfn.XLOOKUP(1,(C$2:C$501=C308)*(B$2:B$501&lt;&gt;"")*(B$2:B$501=_xlfn.MAXIFS(B$2:B$501,C$2:C$501,C308,B$2:B$501,"&lt;"&amp;B308))*(I$2:I$501&lt;&gt;""),I$2:I$501))/_xlfn.XLOOKUP(1,(C$2:C$501=C308)*(B$2:B$501&lt;&gt;"")*(B$2:B$501=_xlfn.MAXIFS(B$2:B$501,C$2:C$501,C308,B$2:B$501,"&lt;"&amp;B308))*(I$2:I$501&lt;&gt;""),I$2:I$501),""))</f>
        <v/>
      </c>
    </row>
    <row r="309" spans="1:11">
      <c r="A309" t="s">
        <v>260</v>
      </c>
      <c r="B309" s="2">
        <v>46082</v>
      </c>
      <c r="C309" t="s">
        <v>22</v>
      </c>
      <c r="D309" t="s">
        <v>22</v>
      </c>
      <c r="E309" t="s">
        <v>23</v>
      </c>
      <c r="F309" s="3">
        <v>3500</v>
      </c>
      <c r="G309" s="3">
        <v>3514</v>
      </c>
      <c r="H309" s="3">
        <v>3475</v>
      </c>
      <c r="I309" s="3">
        <v>3507</v>
      </c>
      <c r="J309" s="3">
        <v>500000</v>
      </c>
      <c r="K309" s="7" cm="1">
        <f t="array" ref="K309">IF(OR(C309="",B309="",I309=""),"",IFERROR((I309-_xlfn.XLOOKUP(1,(C$2:C$501=C309)*(B$2:B$501&lt;&gt;"")*(B$2:B$501=_xlfn.MAXIFS(B$2:B$501,C$2:C$501,C309,B$2:B$501,"&lt;"&amp;B309))*(I$2:I$501&lt;&gt;""),I$2:I$501))/_xlfn.XLOOKUP(1,(C$2:C$501=C309)*(B$2:B$501&lt;&gt;"")*(B$2:B$501=_xlfn.MAXIFS(B$2:B$501,C$2:C$501,C309,B$2:B$501,"&lt;"&amp;B309))*(I$2:I$501&lt;&gt;""),I$2:I$501),""))</f>
        <v>-5.3885422575155988E-3</v>
      </c>
    </row>
    <row r="310" spans="1:11">
      <c r="A310" t="s">
        <v>261</v>
      </c>
      <c r="C310" t="s">
        <v>12</v>
      </c>
      <c r="D310" t="s">
        <v>13</v>
      </c>
      <c r="E310" t="s">
        <v>37</v>
      </c>
      <c r="F310" s="3"/>
      <c r="G310" s="3"/>
      <c r="H310" s="3"/>
      <c r="I310" s="3"/>
      <c r="J310" s="3">
        <v>500000</v>
      </c>
      <c r="K310" s="7" t="str" cm="1">
        <f t="array" ref="K310">IF(OR(C310="",B310="",I310=""),"",IFERROR((I310-_xlfn.XLOOKUP(1,(C$2:C$501=C310)*(B$2:B$501&lt;&gt;"")*(B$2:B$501=_xlfn.MAXIFS(B$2:B$501,C$2:C$501,C310,B$2:B$501,"&lt;"&amp;B310))*(I$2:I$501&lt;&gt;""),I$2:I$501))/_xlfn.XLOOKUP(1,(C$2:C$501=C310)*(B$2:B$501&lt;&gt;"")*(B$2:B$501=_xlfn.MAXIFS(B$2:B$501,C$2:C$501,C310,B$2:B$501,"&lt;"&amp;B310))*(I$2:I$501&lt;&gt;""),I$2:I$501),""))</f>
        <v/>
      </c>
    </row>
    <row r="311" spans="1:11">
      <c r="A311" t="s">
        <v>262</v>
      </c>
      <c r="C311" t="s">
        <v>43</v>
      </c>
      <c r="D311" t="s">
        <v>44</v>
      </c>
      <c r="E311" t="s">
        <v>23</v>
      </c>
      <c r="F311" s="3"/>
      <c r="G311" s="3"/>
      <c r="H311" s="3"/>
      <c r="I311" s="3"/>
      <c r="J311" s="3">
        <v>500000</v>
      </c>
      <c r="K311" s="7" t="str" cm="1">
        <f t="array" ref="K311">IF(OR(C311="",B311="",I311=""),"",IFERROR((I311-_xlfn.XLOOKUP(1,(C$2:C$501=C311)*(B$2:B$501&lt;&gt;"")*(B$2:B$501=_xlfn.MAXIFS(B$2:B$501,C$2:C$501,C311,B$2:B$501,"&lt;"&amp;B311))*(I$2:I$501&lt;&gt;""),I$2:I$501))/_xlfn.XLOOKUP(1,(C$2:C$501=C311)*(B$2:B$501&lt;&gt;"")*(B$2:B$501=_xlfn.MAXIFS(B$2:B$501,C$2:C$501,C311,B$2:B$501,"&lt;"&amp;B311))*(I$2:I$501&lt;&gt;""),I$2:I$501),""))</f>
        <v/>
      </c>
    </row>
    <row r="312" spans="1:11">
      <c r="A312" t="s">
        <v>262</v>
      </c>
      <c r="B312" s="2">
        <v>46054</v>
      </c>
      <c r="C312" t="s">
        <v>16</v>
      </c>
      <c r="D312" t="s">
        <v>17</v>
      </c>
      <c r="E312" t="s">
        <v>18</v>
      </c>
      <c r="F312" s="3">
        <v>2500</v>
      </c>
      <c r="G312" s="3">
        <v>2513</v>
      </c>
      <c r="H312" s="3">
        <v>2470</v>
      </c>
      <c r="I312" s="3">
        <v>2451</v>
      </c>
      <c r="J312" s="3"/>
      <c r="K312" s="7" cm="1">
        <f t="array" ref="K312">IF(OR(C312="",B312="",I312=""),"",IFERROR((I312-_xlfn.XLOOKUP(1,(C$2:C$501=C312)*(B$2:B$501&lt;&gt;"")*(B$2:B$501=_xlfn.MAXIFS(B$2:B$501,C$2:C$501,C312,B$2:B$501,"&lt;"&amp;B312))*(I$2:I$501&lt;&gt;""),I$2:I$501))/_xlfn.XLOOKUP(1,(C$2:C$501=C312)*(B$2:B$501&lt;&gt;"")*(B$2:B$501=_xlfn.MAXIFS(B$2:B$501,C$2:C$501,C312,B$2:B$501,"&lt;"&amp;B312))*(I$2:I$501&lt;&gt;""),I$2:I$501),""))</f>
        <v>-1.1294876966518758E-2</v>
      </c>
    </row>
    <row r="313" spans="1:11">
      <c r="A313" t="s">
        <v>263</v>
      </c>
      <c r="C313" t="s">
        <v>12</v>
      </c>
      <c r="D313" t="s">
        <v>13</v>
      </c>
      <c r="E313" t="s">
        <v>37</v>
      </c>
      <c r="F313" s="3">
        <v>2500</v>
      </c>
      <c r="G313" s="3">
        <v>2534</v>
      </c>
      <c r="H313" s="3">
        <v>2450</v>
      </c>
      <c r="I313" s="3">
        <v>2544</v>
      </c>
      <c r="J313" s="3"/>
      <c r="K313" s="7" t="str" cm="1">
        <f t="array" ref="K313">IF(OR(C313="",B313="",I313=""),"",IFERROR((I313-_xlfn.XLOOKUP(1,(C$2:C$501=C313)*(B$2:B$501&lt;&gt;"")*(B$2:B$501=_xlfn.MAXIFS(B$2:B$501,C$2:C$501,C313,B$2:B$501,"&lt;"&amp;B313))*(I$2:I$501&lt;&gt;""),I$2:I$501))/_xlfn.XLOOKUP(1,(C$2:C$501=C313)*(B$2:B$501&lt;&gt;"")*(B$2:B$501=_xlfn.MAXIFS(B$2:B$501,C$2:C$501,C313,B$2:B$501,"&lt;"&amp;B313))*(I$2:I$501&lt;&gt;""),I$2:I$501),""))</f>
        <v/>
      </c>
    </row>
    <row r="314" spans="1:11">
      <c r="A314" t="s">
        <v>264</v>
      </c>
      <c r="C314" t="s">
        <v>26</v>
      </c>
      <c r="D314" t="s">
        <v>27</v>
      </c>
      <c r="E314" t="s">
        <v>28</v>
      </c>
      <c r="F314" s="3">
        <v>2500</v>
      </c>
      <c r="G314" s="3">
        <v>2573</v>
      </c>
      <c r="H314" s="3">
        <v>2479</v>
      </c>
      <c r="I314" s="3">
        <v>2501</v>
      </c>
      <c r="J314" s="3">
        <v>250000</v>
      </c>
      <c r="K314" s="7" t="str" cm="1">
        <f t="array" ref="K314">IF(OR(C314="",B314="",I314=""),"",IFERROR((I314-_xlfn.XLOOKUP(1,(C$2:C$501=C314)*(B$2:B$501&lt;&gt;"")*(B$2:B$501=_xlfn.MAXIFS(B$2:B$501,C$2:C$501,C314,B$2:B$501,"&lt;"&amp;B314))*(I$2:I$501&lt;&gt;""),I$2:I$501))/_xlfn.XLOOKUP(1,(C$2:C$501=C314)*(B$2:B$501&lt;&gt;"")*(B$2:B$501=_xlfn.MAXIFS(B$2:B$501,C$2:C$501,C314,B$2:B$501,"&lt;"&amp;B314))*(I$2:I$501&lt;&gt;""),I$2:I$501),""))</f>
        <v/>
      </c>
    </row>
    <row r="315" spans="1:11">
      <c r="A315" t="s">
        <v>264</v>
      </c>
      <c r="B315" s="2">
        <v>46054</v>
      </c>
      <c r="C315" t="s">
        <v>43</v>
      </c>
      <c r="D315" t="s">
        <v>44</v>
      </c>
      <c r="E315" t="s">
        <v>23</v>
      </c>
      <c r="F315" s="3">
        <v>3500</v>
      </c>
      <c r="G315" s="3">
        <v>3597</v>
      </c>
      <c r="H315" s="3">
        <v>3435</v>
      </c>
      <c r="I315" s="3">
        <v>3469</v>
      </c>
      <c r="J315" s="3">
        <v>500000</v>
      </c>
      <c r="K315" s="7" cm="1">
        <f t="array" ref="K315">IF(OR(C315="",B315="",I315=""),"",IFERROR((I315-_xlfn.XLOOKUP(1,(C$2:C$501=C315)*(B$2:B$501&lt;&gt;"")*(B$2:B$501=_xlfn.MAXIFS(B$2:B$501,C$2:C$501,C315,B$2:B$501,"&lt;"&amp;B315))*(I$2:I$501&lt;&gt;""),I$2:I$501))/_xlfn.XLOOKUP(1,(C$2:C$501=C315)*(B$2:B$501&lt;&gt;"")*(B$2:B$501=_xlfn.MAXIFS(B$2:B$501,C$2:C$501,C315,B$2:B$501,"&lt;"&amp;B315))*(I$2:I$501&lt;&gt;""),I$2:I$501),""))</f>
        <v>0.3959758551307847</v>
      </c>
    </row>
    <row r="316" spans="1:11">
      <c r="A316" t="s">
        <v>265</v>
      </c>
      <c r="B316" s="2">
        <v>46082</v>
      </c>
      <c r="C316" t="s">
        <v>26</v>
      </c>
      <c r="D316" t="s">
        <v>27</v>
      </c>
      <c r="E316" t="s">
        <v>28</v>
      </c>
      <c r="F316" s="3"/>
      <c r="G316" s="3"/>
      <c r="H316" s="3"/>
      <c r="I316" s="3"/>
      <c r="J316" s="3"/>
      <c r="K316" s="7" t="str" cm="1">
        <f t="array" ref="K316">IF(OR(C316="",B316="",I316=""),"",IFERROR((I316-_xlfn.XLOOKUP(1,(C$2:C$501=C316)*(B$2:B$501&lt;&gt;"")*(B$2:B$501=_xlfn.MAXIFS(B$2:B$501,C$2:C$501,C316,B$2:B$501,"&lt;"&amp;B316))*(I$2:I$501&lt;&gt;""),I$2:I$501))/_xlfn.XLOOKUP(1,(C$2:C$501=C316)*(B$2:B$501&lt;&gt;"")*(B$2:B$501=_xlfn.MAXIFS(B$2:B$501,C$2:C$501,C316,B$2:B$501,"&lt;"&amp;B316))*(I$2:I$501&lt;&gt;""),I$2:I$501),""))</f>
        <v/>
      </c>
    </row>
    <row r="317" spans="1:11">
      <c r="A317" t="s">
        <v>266</v>
      </c>
      <c r="B317" s="2">
        <v>46054</v>
      </c>
      <c r="C317" t="s">
        <v>22</v>
      </c>
      <c r="D317" t="s">
        <v>22</v>
      </c>
      <c r="E317" t="s">
        <v>23</v>
      </c>
      <c r="F317" s="3"/>
      <c r="G317" s="3"/>
      <c r="H317" s="3"/>
      <c r="I317" s="3"/>
      <c r="J317" s="3">
        <v>250000</v>
      </c>
      <c r="K317" s="7" t="str" cm="1">
        <f t="array" ref="K317">IF(OR(C317="",B317="",I317=""),"",IFERROR((I317-_xlfn.XLOOKUP(1,(C$2:C$501=C317)*(B$2:B$501&lt;&gt;"")*(B$2:B$501=_xlfn.MAXIFS(B$2:B$501,C$2:C$501,C317,B$2:B$501,"&lt;"&amp;B317))*(I$2:I$501&lt;&gt;""),I$2:I$501))/_xlfn.XLOOKUP(1,(C$2:C$501=C317)*(B$2:B$501&lt;&gt;"")*(B$2:B$501=_xlfn.MAXIFS(B$2:B$501,C$2:C$501,C317,B$2:B$501,"&lt;"&amp;B317))*(I$2:I$501&lt;&gt;""),I$2:I$501),""))</f>
        <v/>
      </c>
    </row>
    <row r="318" spans="1:11">
      <c r="A318" t="s">
        <v>266</v>
      </c>
      <c r="B318" s="2">
        <v>46082</v>
      </c>
      <c r="C318" t="s">
        <v>12</v>
      </c>
      <c r="D318" t="s">
        <v>13</v>
      </c>
      <c r="E318" t="s">
        <v>37</v>
      </c>
      <c r="F318" s="3"/>
      <c r="G318" s="3"/>
      <c r="H318" s="3"/>
      <c r="I318" s="3"/>
      <c r="J318" s="3">
        <v>250000</v>
      </c>
      <c r="K318" s="7" t="str" cm="1">
        <f t="array" ref="K318">IF(OR(C318="",B318="",I318=""),"",IFERROR((I318-_xlfn.XLOOKUP(1,(C$2:C$501=C318)*(B$2:B$501&lt;&gt;"")*(B$2:B$501=_xlfn.MAXIFS(B$2:B$501,C$2:C$501,C318,B$2:B$501,"&lt;"&amp;B318))*(I$2:I$501&lt;&gt;""),I$2:I$501))/_xlfn.XLOOKUP(1,(C$2:C$501=C318)*(B$2:B$501&lt;&gt;"")*(B$2:B$501=_xlfn.MAXIFS(B$2:B$501,C$2:C$501,C318,B$2:B$501,"&lt;"&amp;B318))*(I$2:I$501&lt;&gt;""),I$2:I$501),""))</f>
        <v/>
      </c>
    </row>
    <row r="319" spans="1:11">
      <c r="A319" t="s">
        <v>267</v>
      </c>
      <c r="C319" t="s">
        <v>12</v>
      </c>
      <c r="D319" t="s">
        <v>13</v>
      </c>
      <c r="E319" t="s">
        <v>37</v>
      </c>
      <c r="F319" s="3">
        <v>3500</v>
      </c>
      <c r="G319" s="3">
        <v>3548</v>
      </c>
      <c r="H319" s="3">
        <v>3465</v>
      </c>
      <c r="I319" s="3">
        <v>3466</v>
      </c>
      <c r="J319" s="3"/>
      <c r="K319" s="7" t="str" cm="1">
        <f t="array" ref="K319">IF(OR(C319="",B319="",I319=""),"",IFERROR((I319-_xlfn.XLOOKUP(1,(C$2:C$501=C319)*(B$2:B$501&lt;&gt;"")*(B$2:B$501=_xlfn.MAXIFS(B$2:B$501,C$2:C$501,C319,B$2:B$501,"&lt;"&amp;B319))*(I$2:I$501&lt;&gt;""),I$2:I$501))/_xlfn.XLOOKUP(1,(C$2:C$501=C319)*(B$2:B$501&lt;&gt;"")*(B$2:B$501=_xlfn.MAXIFS(B$2:B$501,C$2:C$501,C319,B$2:B$501,"&lt;"&amp;B319))*(I$2:I$501&lt;&gt;""),I$2:I$501),""))</f>
        <v/>
      </c>
    </row>
    <row r="320" spans="1:11">
      <c r="A320" t="s">
        <v>268</v>
      </c>
      <c r="B320" s="2">
        <v>46054</v>
      </c>
      <c r="C320" t="s">
        <v>16</v>
      </c>
      <c r="D320" t="s">
        <v>17</v>
      </c>
      <c r="E320" t="s">
        <v>18</v>
      </c>
      <c r="F320" s="3">
        <v>1000</v>
      </c>
      <c r="G320" s="3">
        <v>1059</v>
      </c>
      <c r="H320" s="3">
        <v>978</v>
      </c>
      <c r="I320" s="3">
        <v>961</v>
      </c>
      <c r="J320" s="3">
        <v>500000</v>
      </c>
      <c r="K320" s="7" cm="1">
        <f t="array" ref="K320">IF(OR(C320="",B320="",I320=""),"",IFERROR((I320-_xlfn.XLOOKUP(1,(C$2:C$501=C320)*(B$2:B$501&lt;&gt;"")*(B$2:B$501=_xlfn.MAXIFS(B$2:B$501,C$2:C$501,C320,B$2:B$501,"&lt;"&amp;B320))*(I$2:I$501&lt;&gt;""),I$2:I$501))/_xlfn.XLOOKUP(1,(C$2:C$501=C320)*(B$2:B$501&lt;&gt;"")*(B$2:B$501=_xlfn.MAXIFS(B$2:B$501,C$2:C$501,C320,B$2:B$501,"&lt;"&amp;B320))*(I$2:I$501&lt;&gt;""),I$2:I$501),""))</f>
        <v>-0.61234368697055264</v>
      </c>
    </row>
    <row r="321" spans="1:11">
      <c r="A321" t="s">
        <v>269</v>
      </c>
      <c r="B321" s="2">
        <v>46023</v>
      </c>
      <c r="C321" t="s">
        <v>26</v>
      </c>
      <c r="D321" t="s">
        <v>27</v>
      </c>
      <c r="E321" t="s">
        <v>28</v>
      </c>
      <c r="F321" s="3"/>
      <c r="G321" s="3"/>
      <c r="H321" s="3"/>
      <c r="I321" s="3"/>
      <c r="J321" s="3"/>
      <c r="K321" s="7" t="str" cm="1">
        <f t="array" ref="K321">IF(OR(C321="",B321="",I321=""),"",IFERROR((I321-_xlfn.XLOOKUP(1,(C$2:C$501=C321)*(B$2:B$501&lt;&gt;"")*(B$2:B$501=_xlfn.MAXIFS(B$2:B$501,C$2:C$501,C321,B$2:B$501,"&lt;"&amp;B321))*(I$2:I$501&lt;&gt;""),I$2:I$501))/_xlfn.XLOOKUP(1,(C$2:C$501=C321)*(B$2:B$501&lt;&gt;"")*(B$2:B$501=_xlfn.MAXIFS(B$2:B$501,C$2:C$501,C321,B$2:B$501,"&lt;"&amp;B321))*(I$2:I$501&lt;&gt;""),I$2:I$501),""))</f>
        <v/>
      </c>
    </row>
    <row r="322" spans="1:11">
      <c r="A322" t="s">
        <v>270</v>
      </c>
      <c r="B322" s="2">
        <v>46082</v>
      </c>
      <c r="C322" t="s">
        <v>12</v>
      </c>
      <c r="D322" t="s">
        <v>13</v>
      </c>
      <c r="E322" t="s">
        <v>37</v>
      </c>
      <c r="F322" s="3">
        <v>1000</v>
      </c>
      <c r="G322" s="3">
        <v>1089</v>
      </c>
      <c r="H322" s="3">
        <v>987</v>
      </c>
      <c r="I322" s="3">
        <v>1002</v>
      </c>
      <c r="J322" s="3"/>
      <c r="K322" s="7" cm="1">
        <f t="array" ref="K322">IF(OR(C322="",B322="",I322=""),"",IFERROR((I322-_xlfn.XLOOKUP(1,(C$2:C$501=C322)*(B$2:B$501&lt;&gt;"")*(B$2:B$501=_xlfn.MAXIFS(B$2:B$501,C$2:C$501,C322,B$2:B$501,"&lt;"&amp;B322))*(I$2:I$501&lt;&gt;""),I$2:I$501))/_xlfn.XLOOKUP(1,(C$2:C$501=C322)*(B$2:B$501&lt;&gt;"")*(B$2:B$501=_xlfn.MAXIFS(B$2:B$501,C$2:C$501,C322,B$2:B$501,"&lt;"&amp;B322))*(I$2:I$501&lt;&gt;""),I$2:I$501),""))</f>
        <v>-0.59449615540267098</v>
      </c>
    </row>
    <row r="323" spans="1:11">
      <c r="A323" t="s">
        <v>271</v>
      </c>
      <c r="B323" s="2">
        <v>46023</v>
      </c>
      <c r="C323" t="s">
        <v>43</v>
      </c>
      <c r="D323" t="s">
        <v>44</v>
      </c>
      <c r="E323" t="s">
        <v>23</v>
      </c>
      <c r="F323" s="3"/>
      <c r="G323" s="3"/>
      <c r="H323" s="3"/>
      <c r="I323" s="3"/>
      <c r="J323" s="3">
        <v>500000</v>
      </c>
      <c r="K323" s="7" t="str" cm="1">
        <f t="array" ref="K323">IF(OR(C323="",B323="",I323=""),"",IFERROR((I323-_xlfn.XLOOKUP(1,(C$2:C$501=C323)*(B$2:B$501&lt;&gt;"")*(B$2:B$501=_xlfn.MAXIFS(B$2:B$501,C$2:C$501,C323,B$2:B$501,"&lt;"&amp;B323))*(I$2:I$501&lt;&gt;""),I$2:I$501))/_xlfn.XLOOKUP(1,(C$2:C$501=C323)*(B$2:B$501&lt;&gt;"")*(B$2:B$501=_xlfn.MAXIFS(B$2:B$501,C$2:C$501,C323,B$2:B$501,"&lt;"&amp;B323))*(I$2:I$501&lt;&gt;""),I$2:I$501),""))</f>
        <v/>
      </c>
    </row>
    <row r="324" spans="1:11">
      <c r="A324" t="s">
        <v>272</v>
      </c>
      <c r="B324" s="2">
        <v>46082</v>
      </c>
      <c r="C324" t="s">
        <v>26</v>
      </c>
      <c r="D324" t="s">
        <v>27</v>
      </c>
      <c r="E324" t="s">
        <v>28</v>
      </c>
      <c r="F324" s="3">
        <v>2500</v>
      </c>
      <c r="G324" s="3">
        <v>2547</v>
      </c>
      <c r="H324" s="3">
        <v>2489</v>
      </c>
      <c r="I324" s="3">
        <v>2487</v>
      </c>
      <c r="J324" s="3">
        <v>250000</v>
      </c>
      <c r="K324" s="7" cm="1">
        <f t="array" ref="K324">IF(OR(C324="",B324="",I324=""),"",IFERROR((I324-_xlfn.XLOOKUP(1,(C$2:C$501=C324)*(B$2:B$501&lt;&gt;"")*(B$2:B$501=_xlfn.MAXIFS(B$2:B$501,C$2:C$501,C324,B$2:B$501,"&lt;"&amp;B324))*(I$2:I$501&lt;&gt;""),I$2:I$501))/_xlfn.XLOOKUP(1,(C$2:C$501=C324)*(B$2:B$501&lt;&gt;"")*(B$2:B$501=_xlfn.MAXIFS(B$2:B$501,C$2:C$501,C324,B$2:B$501,"&lt;"&amp;B324))*(I$2:I$501&lt;&gt;""),I$2:I$501),""))</f>
        <v>-0.29546742209631727</v>
      </c>
    </row>
    <row r="325" spans="1:11">
      <c r="A325" t="s">
        <v>272</v>
      </c>
      <c r="C325" t="s">
        <v>16</v>
      </c>
      <c r="D325" t="s">
        <v>17</v>
      </c>
      <c r="E325" t="s">
        <v>18</v>
      </c>
      <c r="F325" s="3">
        <v>1000</v>
      </c>
      <c r="G325" s="3">
        <v>1098</v>
      </c>
      <c r="H325" s="3">
        <v>941</v>
      </c>
      <c r="I325" s="3">
        <v>970</v>
      </c>
      <c r="J325" s="3">
        <v>250000</v>
      </c>
      <c r="K325" s="7" t="str" cm="1">
        <f t="array" ref="K325">IF(OR(C325="",B325="",I325=""),"",IFERROR((I325-_xlfn.XLOOKUP(1,(C$2:C$501=C325)*(B$2:B$501&lt;&gt;"")*(B$2:B$501=_xlfn.MAXIFS(B$2:B$501,C$2:C$501,C325,B$2:B$501,"&lt;"&amp;B325))*(I$2:I$501&lt;&gt;""),I$2:I$501))/_xlfn.XLOOKUP(1,(C$2:C$501=C325)*(B$2:B$501&lt;&gt;"")*(B$2:B$501=_xlfn.MAXIFS(B$2:B$501,C$2:C$501,C325,B$2:B$501,"&lt;"&amp;B325))*(I$2:I$501&lt;&gt;""),I$2:I$501),""))</f>
        <v/>
      </c>
    </row>
    <row r="326" spans="1:11">
      <c r="A326" t="s">
        <v>273</v>
      </c>
      <c r="B326" s="2">
        <v>46082</v>
      </c>
      <c r="C326" t="s">
        <v>12</v>
      </c>
      <c r="D326" t="s">
        <v>13</v>
      </c>
      <c r="E326" t="s">
        <v>37</v>
      </c>
      <c r="F326" s="3">
        <v>3500</v>
      </c>
      <c r="G326" s="3">
        <v>3540</v>
      </c>
      <c r="H326" s="3">
        <v>3445</v>
      </c>
      <c r="I326" s="3">
        <v>3515</v>
      </c>
      <c r="J326" s="3">
        <v>500000</v>
      </c>
      <c r="K326" s="7" cm="1">
        <f t="array" ref="K326">IF(OR(C326="",B326="",I326=""),"",IFERROR((I326-_xlfn.XLOOKUP(1,(C$2:C$501=C326)*(B$2:B$501&lt;&gt;"")*(B$2:B$501=_xlfn.MAXIFS(B$2:B$501,C$2:C$501,C326,B$2:B$501,"&lt;"&amp;B326))*(I$2:I$501&lt;&gt;""),I$2:I$501))/_xlfn.XLOOKUP(1,(C$2:C$501=C326)*(B$2:B$501&lt;&gt;"")*(B$2:B$501=_xlfn.MAXIFS(B$2:B$501,C$2:C$501,C326,B$2:B$501,"&lt;"&amp;B326))*(I$2:I$501&lt;&gt;""),I$2:I$501),""))</f>
        <v>0.42250101173613924</v>
      </c>
    </row>
    <row r="327" spans="1:11">
      <c r="A327" t="s">
        <v>274</v>
      </c>
      <c r="B327" s="2">
        <v>46082</v>
      </c>
      <c r="C327" t="s">
        <v>43</v>
      </c>
      <c r="D327" t="s">
        <v>44</v>
      </c>
      <c r="E327" t="s">
        <v>23</v>
      </c>
      <c r="F327" s="3"/>
      <c r="G327" s="3"/>
      <c r="H327" s="3"/>
      <c r="I327" s="3"/>
      <c r="J327" s="3"/>
      <c r="K327" s="7" t="str" cm="1">
        <f t="array" ref="K327">IF(OR(C327="",B327="",I327=""),"",IFERROR((I327-_xlfn.XLOOKUP(1,(C$2:C$501=C327)*(B$2:B$501&lt;&gt;"")*(B$2:B$501=_xlfn.MAXIFS(B$2:B$501,C$2:C$501,C327,B$2:B$501,"&lt;"&amp;B327))*(I$2:I$501&lt;&gt;""),I$2:I$501))/_xlfn.XLOOKUP(1,(C$2:C$501=C327)*(B$2:B$501&lt;&gt;"")*(B$2:B$501=_xlfn.MAXIFS(B$2:B$501,C$2:C$501,C327,B$2:B$501,"&lt;"&amp;B327))*(I$2:I$501&lt;&gt;""),I$2:I$501),""))</f>
        <v/>
      </c>
    </row>
    <row r="328" spans="1:11">
      <c r="A328" t="s">
        <v>275</v>
      </c>
      <c r="B328" s="2">
        <v>46082</v>
      </c>
      <c r="C328" t="s">
        <v>22</v>
      </c>
      <c r="D328" t="s">
        <v>22</v>
      </c>
      <c r="E328" t="s">
        <v>23</v>
      </c>
      <c r="F328" s="3">
        <v>2500</v>
      </c>
      <c r="G328" s="3">
        <v>2554</v>
      </c>
      <c r="H328" s="3">
        <v>2446</v>
      </c>
      <c r="I328" s="3">
        <v>2515</v>
      </c>
      <c r="J328" s="3"/>
      <c r="K328" s="7" cm="1">
        <f t="array" ref="K328">IF(OR(C328="",B328="",I328=""),"",IFERROR((I328-_xlfn.XLOOKUP(1,(C$2:C$501=C328)*(B$2:B$501&lt;&gt;"")*(B$2:B$501=_xlfn.MAXIFS(B$2:B$501,C$2:C$501,C328,B$2:B$501,"&lt;"&amp;B328))*(I$2:I$501&lt;&gt;""),I$2:I$501))/_xlfn.XLOOKUP(1,(C$2:C$501=C328)*(B$2:B$501&lt;&gt;"")*(B$2:B$501=_xlfn.MAXIFS(B$2:B$501,C$2:C$501,C328,B$2:B$501,"&lt;"&amp;B328))*(I$2:I$501&lt;&gt;""),I$2:I$501),""))</f>
        <v>-0.28672716959727734</v>
      </c>
    </row>
    <row r="329" spans="1:11">
      <c r="A329" t="s">
        <v>276</v>
      </c>
      <c r="B329" s="2">
        <v>46023</v>
      </c>
      <c r="C329" t="s">
        <v>22</v>
      </c>
      <c r="D329" t="s">
        <v>22</v>
      </c>
      <c r="E329" t="s">
        <v>23</v>
      </c>
      <c r="F329" s="3">
        <v>1000</v>
      </c>
      <c r="G329" s="3">
        <v>1030</v>
      </c>
      <c r="H329" s="3">
        <v>951</v>
      </c>
      <c r="I329" s="3">
        <v>961</v>
      </c>
      <c r="J329" s="3">
        <v>500000</v>
      </c>
      <c r="K329" s="7" t="str" cm="1">
        <f t="array" ref="K329">IF(OR(C329="",B329="",I329=""),"",IFERROR((I329-_xlfn.XLOOKUP(1,(C$2:C$501=C329)*(B$2:B$501&lt;&gt;"")*(B$2:B$501=_xlfn.MAXIFS(B$2:B$501,C$2:C$501,C329,B$2:B$501,"&lt;"&amp;B329))*(I$2:I$501&lt;&gt;""),I$2:I$501))/_xlfn.XLOOKUP(1,(C$2:C$501=C329)*(B$2:B$501&lt;&gt;"")*(B$2:B$501=_xlfn.MAXIFS(B$2:B$501,C$2:C$501,C329,B$2:B$501,"&lt;"&amp;B329))*(I$2:I$501&lt;&gt;""),I$2:I$501),""))</f>
        <v/>
      </c>
    </row>
    <row r="330" spans="1:11">
      <c r="A330" t="s">
        <v>276</v>
      </c>
      <c r="B330" s="2">
        <v>46054</v>
      </c>
      <c r="C330" t="s">
        <v>16</v>
      </c>
      <c r="D330" t="s">
        <v>17</v>
      </c>
      <c r="E330" t="s">
        <v>18</v>
      </c>
      <c r="F330" s="3">
        <v>1000</v>
      </c>
      <c r="G330" s="3">
        <v>1081</v>
      </c>
      <c r="H330" s="3">
        <v>964</v>
      </c>
      <c r="I330" s="3">
        <v>1002</v>
      </c>
      <c r="J330" s="3">
        <v>250000</v>
      </c>
      <c r="K330" s="7" cm="1">
        <f t="array" ref="K330">IF(OR(C330="",B330="",I330=""),"",IFERROR((I330-_xlfn.XLOOKUP(1,(C$2:C$501=C330)*(B$2:B$501&lt;&gt;"")*(B$2:B$501=_xlfn.MAXIFS(B$2:B$501,C$2:C$501,C330,B$2:B$501,"&lt;"&amp;B330))*(I$2:I$501&lt;&gt;""),I$2:I$501))/_xlfn.XLOOKUP(1,(C$2:C$501=C330)*(B$2:B$501&lt;&gt;"")*(B$2:B$501=_xlfn.MAXIFS(B$2:B$501,C$2:C$501,C330,B$2:B$501,"&lt;"&amp;B330))*(I$2:I$501&lt;&gt;""),I$2:I$501),""))</f>
        <v>-0.59580475998386451</v>
      </c>
    </row>
    <row r="331" spans="1:11">
      <c r="A331" t="s">
        <v>277</v>
      </c>
      <c r="B331" s="2">
        <v>46054</v>
      </c>
      <c r="C331" t="s">
        <v>26</v>
      </c>
      <c r="D331" t="s">
        <v>27</v>
      </c>
      <c r="E331" t="s">
        <v>28</v>
      </c>
      <c r="F331" s="3">
        <v>3500</v>
      </c>
      <c r="G331" s="3">
        <v>3515</v>
      </c>
      <c r="H331" s="3">
        <v>3430</v>
      </c>
      <c r="I331" s="3">
        <v>3533</v>
      </c>
      <c r="J331" s="3">
        <v>500000</v>
      </c>
      <c r="K331" s="7" cm="1">
        <f t="array" ref="K331">IF(OR(C331="",B331="",I331=""),"",IFERROR((I331-_xlfn.XLOOKUP(1,(C$2:C$501=C331)*(B$2:B$501&lt;&gt;"")*(B$2:B$501=_xlfn.MAXIFS(B$2:B$501,C$2:C$501,C331,B$2:B$501,"&lt;"&amp;B331))*(I$2:I$501&lt;&gt;""),I$2:I$501))/_xlfn.XLOOKUP(1,(C$2:C$501=C331)*(B$2:B$501&lt;&gt;"")*(B$2:B$501=_xlfn.MAXIFS(B$2:B$501,C$2:C$501,C331,B$2:B$501,"&lt;"&amp;B331))*(I$2:I$501&lt;&gt;""),I$2:I$501),""))</f>
        <v>0.3969948596283116</v>
      </c>
    </row>
    <row r="332" spans="1:11">
      <c r="A332" t="s">
        <v>278</v>
      </c>
      <c r="B332" s="2">
        <v>46054</v>
      </c>
      <c r="C332" t="s">
        <v>12</v>
      </c>
      <c r="D332" t="s">
        <v>13</v>
      </c>
      <c r="E332" t="s">
        <v>37</v>
      </c>
      <c r="F332" s="3">
        <v>1000</v>
      </c>
      <c r="G332" s="3">
        <v>1052</v>
      </c>
      <c r="H332" s="3">
        <v>938</v>
      </c>
      <c r="I332" s="3">
        <v>1038</v>
      </c>
      <c r="J332" s="3">
        <v>250000</v>
      </c>
      <c r="K332" s="7" cm="1">
        <f t="array" ref="K332">IF(OR(C332="",B332="",I332=""),"",IFERROR((I332-_xlfn.XLOOKUP(1,(C$2:C$501=C332)*(B$2:B$501&lt;&gt;"")*(B$2:B$501=_xlfn.MAXIFS(B$2:B$501,C$2:C$501,C332,B$2:B$501,"&lt;"&amp;B332))*(I$2:I$501&lt;&gt;""),I$2:I$501))/_xlfn.XLOOKUP(1,(C$2:C$501=C332)*(B$2:B$501&lt;&gt;"")*(B$2:B$501=_xlfn.MAXIFS(B$2:B$501,C$2:C$501,C332,B$2:B$501,"&lt;"&amp;B332))*(I$2:I$501&lt;&gt;""),I$2:I$501),""))</f>
        <v>-0.58026688232915491</v>
      </c>
    </row>
    <row r="333" spans="1:11">
      <c r="A333" t="s">
        <v>279</v>
      </c>
      <c r="B333" s="2">
        <v>46023</v>
      </c>
      <c r="C333" t="s">
        <v>12</v>
      </c>
      <c r="D333" t="s">
        <v>13</v>
      </c>
      <c r="E333" t="s">
        <v>37</v>
      </c>
      <c r="F333" s="3">
        <v>1000</v>
      </c>
      <c r="G333" s="3">
        <v>1095</v>
      </c>
      <c r="H333" s="3">
        <v>979</v>
      </c>
      <c r="I333" s="3">
        <v>967</v>
      </c>
      <c r="J333" s="3">
        <v>250000</v>
      </c>
      <c r="K333" s="7" t="str" cm="1">
        <f t="array" ref="K333">IF(OR(C333="",B333="",I333=""),"",IFERROR((I333-_xlfn.XLOOKUP(1,(C$2:C$501=C333)*(B$2:B$501&lt;&gt;"")*(B$2:B$501=_xlfn.MAXIFS(B$2:B$501,C$2:C$501,C333,B$2:B$501,"&lt;"&amp;B333))*(I$2:I$501&lt;&gt;""),I$2:I$501))/_xlfn.XLOOKUP(1,(C$2:C$501=C333)*(B$2:B$501&lt;&gt;"")*(B$2:B$501=_xlfn.MAXIFS(B$2:B$501,C$2:C$501,C333,B$2:B$501,"&lt;"&amp;B333))*(I$2:I$501&lt;&gt;""),I$2:I$501),""))</f>
        <v/>
      </c>
    </row>
    <row r="334" spans="1:11">
      <c r="A334" t="s">
        <v>280</v>
      </c>
      <c r="B334" s="2">
        <v>46023</v>
      </c>
      <c r="C334" t="s">
        <v>22</v>
      </c>
      <c r="D334" t="s">
        <v>22</v>
      </c>
      <c r="E334" t="s">
        <v>23</v>
      </c>
      <c r="F334" s="3">
        <v>2500</v>
      </c>
      <c r="G334" s="3">
        <v>2547</v>
      </c>
      <c r="H334" s="3">
        <v>2440</v>
      </c>
      <c r="I334" s="3">
        <v>2532</v>
      </c>
      <c r="J334" s="3">
        <v>100000</v>
      </c>
      <c r="K334" s="7" t="str" cm="1">
        <f t="array" ref="K334">IF(OR(C334="",B334="",I334=""),"",IFERROR((I334-_xlfn.XLOOKUP(1,(C$2:C$501=C334)*(B$2:B$501&lt;&gt;"")*(B$2:B$501=_xlfn.MAXIFS(B$2:B$501,C$2:C$501,C334,B$2:B$501,"&lt;"&amp;B334))*(I$2:I$501&lt;&gt;""),I$2:I$501))/_xlfn.XLOOKUP(1,(C$2:C$501=C334)*(B$2:B$501&lt;&gt;"")*(B$2:B$501=_xlfn.MAXIFS(B$2:B$501,C$2:C$501,C334,B$2:B$501,"&lt;"&amp;B334))*(I$2:I$501&lt;&gt;""),I$2:I$501),""))</f>
        <v/>
      </c>
    </row>
    <row r="335" spans="1:11">
      <c r="A335" t="s">
        <v>281</v>
      </c>
      <c r="C335" t="s">
        <v>12</v>
      </c>
      <c r="D335" t="s">
        <v>13</v>
      </c>
      <c r="E335" t="s">
        <v>37</v>
      </c>
      <c r="F335" s="3">
        <v>2500</v>
      </c>
      <c r="G335" s="3">
        <v>2570</v>
      </c>
      <c r="H335" s="3">
        <v>2422</v>
      </c>
      <c r="I335" s="3">
        <v>2478</v>
      </c>
      <c r="J335" s="3"/>
      <c r="K335" s="7" t="str" cm="1">
        <f t="array" ref="K335">IF(OR(C335="",B335="",I335=""),"",IFERROR((I335-_xlfn.XLOOKUP(1,(C$2:C$501=C335)*(B$2:B$501&lt;&gt;"")*(B$2:B$501=_xlfn.MAXIFS(B$2:B$501,C$2:C$501,C335,B$2:B$501,"&lt;"&amp;B335))*(I$2:I$501&lt;&gt;""),I$2:I$501))/_xlfn.XLOOKUP(1,(C$2:C$501=C335)*(B$2:B$501&lt;&gt;"")*(B$2:B$501=_xlfn.MAXIFS(B$2:B$501,C$2:C$501,C335,B$2:B$501,"&lt;"&amp;B335))*(I$2:I$501&lt;&gt;""),I$2:I$501),""))</f>
        <v/>
      </c>
    </row>
    <row r="336" spans="1:11">
      <c r="A336" t="s">
        <v>281</v>
      </c>
      <c r="B336" s="2">
        <v>46023</v>
      </c>
      <c r="C336" t="s">
        <v>12</v>
      </c>
      <c r="D336" t="s">
        <v>13</v>
      </c>
      <c r="E336" t="s">
        <v>37</v>
      </c>
      <c r="F336" s="3">
        <v>1000</v>
      </c>
      <c r="G336" s="3">
        <v>1097</v>
      </c>
      <c r="H336" s="3">
        <v>972</v>
      </c>
      <c r="I336" s="3">
        <v>981</v>
      </c>
      <c r="J336" s="3">
        <v>500000</v>
      </c>
      <c r="K336" s="7" t="str" cm="1">
        <f t="array" ref="K336">IF(OR(C336="",B336="",I336=""),"",IFERROR((I336-_xlfn.XLOOKUP(1,(C$2:C$501=C336)*(B$2:B$501&lt;&gt;"")*(B$2:B$501=_xlfn.MAXIFS(B$2:B$501,C$2:C$501,C336,B$2:B$501,"&lt;"&amp;B336))*(I$2:I$501&lt;&gt;""),I$2:I$501))/_xlfn.XLOOKUP(1,(C$2:C$501=C336)*(B$2:B$501&lt;&gt;"")*(B$2:B$501=_xlfn.MAXIFS(B$2:B$501,C$2:C$501,C336,B$2:B$501,"&lt;"&amp;B336))*(I$2:I$501&lt;&gt;""),I$2:I$501),""))</f>
        <v/>
      </c>
    </row>
    <row r="337" spans="1:11">
      <c r="A337" t="s">
        <v>282</v>
      </c>
      <c r="B337" s="2">
        <v>46054</v>
      </c>
      <c r="C337" t="s">
        <v>43</v>
      </c>
      <c r="D337" t="s">
        <v>44</v>
      </c>
      <c r="E337" t="s">
        <v>23</v>
      </c>
      <c r="F337" s="3">
        <v>1000</v>
      </c>
      <c r="G337" s="3">
        <v>1018</v>
      </c>
      <c r="H337" s="3">
        <v>990</v>
      </c>
      <c r="I337" s="3">
        <v>1005</v>
      </c>
      <c r="J337" s="3">
        <v>100000</v>
      </c>
      <c r="K337" s="7" cm="1">
        <f t="array" ref="K337">IF(OR(C337="",B337="",I337=""),"",IFERROR((I337-_xlfn.XLOOKUP(1,(C$2:C$501=C337)*(B$2:B$501&lt;&gt;"")*(B$2:B$501=_xlfn.MAXIFS(B$2:B$501,C$2:C$501,C337,B$2:B$501,"&lt;"&amp;B337))*(I$2:I$501&lt;&gt;""),I$2:I$501))/_xlfn.XLOOKUP(1,(C$2:C$501=C337)*(B$2:B$501&lt;&gt;"")*(B$2:B$501=_xlfn.MAXIFS(B$2:B$501,C$2:C$501,C337,B$2:B$501,"&lt;"&amp;B337))*(I$2:I$501&lt;&gt;""),I$2:I$501),""))</f>
        <v>-0.59557344064386319</v>
      </c>
    </row>
    <row r="338" spans="1:11">
      <c r="A338" t="s">
        <v>282</v>
      </c>
      <c r="B338" s="2">
        <v>46023</v>
      </c>
      <c r="C338" t="s">
        <v>26</v>
      </c>
      <c r="D338" t="s">
        <v>27</v>
      </c>
      <c r="E338" t="s">
        <v>28</v>
      </c>
      <c r="F338" s="3">
        <v>2500</v>
      </c>
      <c r="G338" s="3">
        <v>2582</v>
      </c>
      <c r="H338" s="3">
        <v>2452</v>
      </c>
      <c r="I338" s="3">
        <v>2527</v>
      </c>
      <c r="J338" s="3">
        <v>250000</v>
      </c>
      <c r="K338" s="7" t="str" cm="1">
        <f t="array" ref="K338">IF(OR(C338="",B338="",I338=""),"",IFERROR((I338-_xlfn.XLOOKUP(1,(C$2:C$501=C338)*(B$2:B$501&lt;&gt;"")*(B$2:B$501=_xlfn.MAXIFS(B$2:B$501,C$2:C$501,C338,B$2:B$501,"&lt;"&amp;B338))*(I$2:I$501&lt;&gt;""),I$2:I$501))/_xlfn.XLOOKUP(1,(C$2:C$501=C338)*(B$2:B$501&lt;&gt;"")*(B$2:B$501=_xlfn.MAXIFS(B$2:B$501,C$2:C$501,C338,B$2:B$501,"&lt;"&amp;B338))*(I$2:I$501&lt;&gt;""),I$2:I$501),""))</f>
        <v/>
      </c>
    </row>
    <row r="339" spans="1:11">
      <c r="A339" t="s">
        <v>283</v>
      </c>
      <c r="B339" s="2">
        <v>46054</v>
      </c>
      <c r="C339" t="s">
        <v>22</v>
      </c>
      <c r="D339" t="s">
        <v>22</v>
      </c>
      <c r="E339" t="s">
        <v>23</v>
      </c>
      <c r="F339" s="3">
        <v>3500</v>
      </c>
      <c r="G339" s="3">
        <v>3549</v>
      </c>
      <c r="H339" s="3">
        <v>3430</v>
      </c>
      <c r="I339" s="3">
        <v>3532</v>
      </c>
      <c r="J339" s="3">
        <v>250000</v>
      </c>
      <c r="K339" s="7" cm="1">
        <f t="array" ref="K339">IF(OR(C339="",B339="",I339=""),"",IFERROR((I339-_xlfn.XLOOKUP(1,(C$2:C$501=C339)*(B$2:B$501&lt;&gt;"")*(B$2:B$501=_xlfn.MAXIFS(B$2:B$501,C$2:C$501,C339,B$2:B$501,"&lt;"&amp;B339))*(I$2:I$501&lt;&gt;""),I$2:I$501))/_xlfn.XLOOKUP(1,(C$2:C$501=C339)*(B$2:B$501&lt;&gt;"")*(B$2:B$501=_xlfn.MAXIFS(B$2:B$501,C$2:C$501,C339,B$2:B$501,"&lt;"&amp;B339))*(I$2:I$501&lt;&gt;""),I$2:I$501),""))</f>
        <v>2.6077630234933604</v>
      </c>
    </row>
    <row r="340" spans="1:11">
      <c r="A340" t="s">
        <v>284</v>
      </c>
      <c r="B340" s="2">
        <v>46054</v>
      </c>
      <c r="C340" t="s">
        <v>43</v>
      </c>
      <c r="D340" t="s">
        <v>44</v>
      </c>
      <c r="E340" t="s">
        <v>23</v>
      </c>
      <c r="F340" s="3">
        <v>3500</v>
      </c>
      <c r="G340" s="3">
        <v>3512</v>
      </c>
      <c r="H340" s="3">
        <v>3440</v>
      </c>
      <c r="I340" s="3">
        <v>3525</v>
      </c>
      <c r="J340" s="3"/>
      <c r="K340" s="7" cm="1">
        <f t="array" ref="K340">IF(OR(C340="",B340="",I340=""),"",IFERROR((I340-_xlfn.XLOOKUP(1,(C$2:C$501=C340)*(B$2:B$501&lt;&gt;"")*(B$2:B$501=_xlfn.MAXIFS(B$2:B$501,C$2:C$501,C340,B$2:B$501,"&lt;"&amp;B340))*(I$2:I$501&lt;&gt;""),I$2:I$501))/_xlfn.XLOOKUP(1,(C$2:C$501=C340)*(B$2:B$501&lt;&gt;"")*(B$2:B$501=_xlfn.MAXIFS(B$2:B$501,C$2:C$501,C340,B$2:B$501,"&lt;"&amp;B340))*(I$2:I$501&lt;&gt;""),I$2:I$501),""))</f>
        <v>0.41851106639839036</v>
      </c>
    </row>
    <row r="341" spans="1:11">
      <c r="A341" t="s">
        <v>284</v>
      </c>
      <c r="B341" s="2">
        <v>46054</v>
      </c>
      <c r="C341" t="s">
        <v>12</v>
      </c>
      <c r="D341" t="s">
        <v>13</v>
      </c>
      <c r="E341" t="s">
        <v>37</v>
      </c>
      <c r="F341" s="3"/>
      <c r="G341" s="3"/>
      <c r="H341" s="3"/>
      <c r="I341" s="3"/>
      <c r="J341" s="3">
        <v>100000</v>
      </c>
      <c r="K341" s="7" t="str" cm="1">
        <f t="array" ref="K341">IF(OR(C341="",B341="",I341=""),"",IFERROR((I341-_xlfn.XLOOKUP(1,(C$2:C$501=C341)*(B$2:B$501&lt;&gt;"")*(B$2:B$501=_xlfn.MAXIFS(B$2:B$501,C$2:C$501,C341,B$2:B$501,"&lt;"&amp;B341))*(I$2:I$501&lt;&gt;""),I$2:I$501))/_xlfn.XLOOKUP(1,(C$2:C$501=C341)*(B$2:B$501&lt;&gt;"")*(B$2:B$501=_xlfn.MAXIFS(B$2:B$501,C$2:C$501,C341,B$2:B$501,"&lt;"&amp;B341))*(I$2:I$501&lt;&gt;""),I$2:I$501),""))</f>
        <v/>
      </c>
    </row>
    <row r="342" spans="1:11">
      <c r="A342" t="s">
        <v>285</v>
      </c>
      <c r="B342" s="2">
        <v>46023</v>
      </c>
      <c r="C342" t="s">
        <v>16</v>
      </c>
      <c r="D342" t="s">
        <v>17</v>
      </c>
      <c r="E342" t="s">
        <v>18</v>
      </c>
      <c r="F342" s="3">
        <v>2500</v>
      </c>
      <c r="G342" s="3">
        <v>2594</v>
      </c>
      <c r="H342" s="3">
        <v>2488</v>
      </c>
      <c r="I342" s="3">
        <v>2510</v>
      </c>
      <c r="J342" s="3">
        <v>250000</v>
      </c>
      <c r="K342" s="7" t="str" cm="1">
        <f t="array" ref="K342">IF(OR(C342="",B342="",I342=""),"",IFERROR((I342-_xlfn.XLOOKUP(1,(C$2:C$501=C342)*(B$2:B$501&lt;&gt;"")*(B$2:B$501=_xlfn.MAXIFS(B$2:B$501,C$2:C$501,C342,B$2:B$501,"&lt;"&amp;B342))*(I$2:I$501&lt;&gt;""),I$2:I$501))/_xlfn.XLOOKUP(1,(C$2:C$501=C342)*(B$2:B$501&lt;&gt;"")*(B$2:B$501=_xlfn.MAXIFS(B$2:B$501,C$2:C$501,C342,B$2:B$501,"&lt;"&amp;B342))*(I$2:I$501&lt;&gt;""),I$2:I$501),""))</f>
        <v/>
      </c>
    </row>
    <row r="343" spans="1:11">
      <c r="A343" t="s">
        <v>286</v>
      </c>
      <c r="B343" s="2">
        <v>46054</v>
      </c>
      <c r="C343" t="s">
        <v>26</v>
      </c>
      <c r="D343" t="s">
        <v>27</v>
      </c>
      <c r="E343" t="s">
        <v>28</v>
      </c>
      <c r="F343" s="3">
        <v>1000</v>
      </c>
      <c r="G343" s="3">
        <v>1051</v>
      </c>
      <c r="H343" s="3">
        <v>968</v>
      </c>
      <c r="I343" s="3">
        <v>972</v>
      </c>
      <c r="J343" s="3">
        <v>500000</v>
      </c>
      <c r="K343" s="7" cm="1">
        <f t="array" ref="K343">IF(OR(C343="",B343="",I343=""),"",IFERROR((I343-_xlfn.XLOOKUP(1,(C$2:C$501=C343)*(B$2:B$501&lt;&gt;"")*(B$2:B$501=_xlfn.MAXIFS(B$2:B$501,C$2:C$501,C343,B$2:B$501,"&lt;"&amp;B343))*(I$2:I$501&lt;&gt;""),I$2:I$501))/_xlfn.XLOOKUP(1,(C$2:C$501=C343)*(B$2:B$501&lt;&gt;"")*(B$2:B$501=_xlfn.MAXIFS(B$2:B$501,C$2:C$501,C343,B$2:B$501,"&lt;"&amp;B343))*(I$2:I$501&lt;&gt;""),I$2:I$501),""))</f>
        <v>-0.61565836298932386</v>
      </c>
    </row>
    <row r="344" spans="1:11">
      <c r="A344" t="s">
        <v>286</v>
      </c>
      <c r="B344" s="2">
        <v>46054</v>
      </c>
      <c r="C344" t="s">
        <v>22</v>
      </c>
      <c r="D344" t="s">
        <v>22</v>
      </c>
      <c r="E344" t="s">
        <v>23</v>
      </c>
      <c r="F344" s="3">
        <v>2500</v>
      </c>
      <c r="G344" s="3">
        <v>2572</v>
      </c>
      <c r="H344" s="3">
        <v>2434</v>
      </c>
      <c r="I344" s="3">
        <v>2531</v>
      </c>
      <c r="J344" s="3">
        <v>100000</v>
      </c>
      <c r="K344" s="7" cm="1">
        <f t="array" ref="K344">IF(OR(C344="",B344="",I344=""),"",IFERROR((I344-_xlfn.XLOOKUP(1,(C$2:C$501=C344)*(B$2:B$501&lt;&gt;"")*(B$2:B$501=_xlfn.MAXIFS(B$2:B$501,C$2:C$501,C344,B$2:B$501,"&lt;"&amp;B344))*(I$2:I$501&lt;&gt;""),I$2:I$501))/_xlfn.XLOOKUP(1,(C$2:C$501=C344)*(B$2:B$501&lt;&gt;"")*(B$2:B$501=_xlfn.MAXIFS(B$2:B$501,C$2:C$501,C344,B$2:B$501,"&lt;"&amp;B344))*(I$2:I$501&lt;&gt;""),I$2:I$501),""))</f>
        <v>1.585291113381001</v>
      </c>
    </row>
    <row r="345" spans="1:11">
      <c r="A345" t="s">
        <v>287</v>
      </c>
      <c r="C345" t="s">
        <v>16</v>
      </c>
      <c r="D345" t="s">
        <v>17</v>
      </c>
      <c r="E345" t="s">
        <v>18</v>
      </c>
      <c r="F345" s="3">
        <v>1000</v>
      </c>
      <c r="G345" s="3">
        <v>1056</v>
      </c>
      <c r="H345" s="3">
        <v>933</v>
      </c>
      <c r="I345" s="3">
        <v>1018</v>
      </c>
      <c r="J345" s="3">
        <v>100000</v>
      </c>
      <c r="K345" s="7" t="str" cm="1">
        <f t="array" ref="K345">IF(OR(C345="",B345="",I345=""),"",IFERROR((I345-_xlfn.XLOOKUP(1,(C$2:C$501=C345)*(B$2:B$501&lt;&gt;"")*(B$2:B$501=_xlfn.MAXIFS(B$2:B$501,C$2:C$501,C345,B$2:B$501,"&lt;"&amp;B345))*(I$2:I$501&lt;&gt;""),I$2:I$501))/_xlfn.XLOOKUP(1,(C$2:C$501=C345)*(B$2:B$501&lt;&gt;"")*(B$2:B$501=_xlfn.MAXIFS(B$2:B$501,C$2:C$501,C345,B$2:B$501,"&lt;"&amp;B345))*(I$2:I$501&lt;&gt;""),I$2:I$501),""))</f>
        <v/>
      </c>
    </row>
    <row r="346" spans="1:11">
      <c r="A346" t="s">
        <v>288</v>
      </c>
      <c r="B346" s="2">
        <v>46082</v>
      </c>
      <c r="C346" t="s">
        <v>43</v>
      </c>
      <c r="D346" t="s">
        <v>44</v>
      </c>
      <c r="E346" t="s">
        <v>23</v>
      </c>
      <c r="F346" s="3">
        <v>1000</v>
      </c>
      <c r="G346" s="3">
        <v>1052</v>
      </c>
      <c r="H346" s="3">
        <v>987</v>
      </c>
      <c r="I346" s="3">
        <v>1012</v>
      </c>
      <c r="J346" s="3">
        <v>500000</v>
      </c>
      <c r="K346" s="7" cm="1">
        <f t="array" ref="K346">IF(OR(C346="",B346="",I346=""),"",IFERROR((I346-_xlfn.XLOOKUP(1,(C$2:C$501=C346)*(B$2:B$501&lt;&gt;"")*(B$2:B$501=_xlfn.MAXIFS(B$2:B$501,C$2:C$501,C346,B$2:B$501,"&lt;"&amp;B346))*(I$2:I$501&lt;&gt;""),I$2:I$501))/_xlfn.XLOOKUP(1,(C$2:C$501=C346)*(B$2:B$501&lt;&gt;"")*(B$2:B$501=_xlfn.MAXIFS(B$2:B$501,C$2:C$501,C346,B$2:B$501,"&lt;"&amp;B346))*(I$2:I$501&lt;&gt;""),I$2:I$501),""))</f>
        <v>-2.6923076923076925E-2</v>
      </c>
    </row>
    <row r="347" spans="1:11">
      <c r="A347" t="s">
        <v>288</v>
      </c>
      <c r="B347" s="2">
        <v>46023</v>
      </c>
      <c r="C347" t="s">
        <v>22</v>
      </c>
      <c r="D347" t="s">
        <v>22</v>
      </c>
      <c r="E347" t="s">
        <v>23</v>
      </c>
      <c r="F347" s="3">
        <v>3500</v>
      </c>
      <c r="G347" s="3">
        <v>3569</v>
      </c>
      <c r="H347" s="3">
        <v>3469</v>
      </c>
      <c r="I347" s="3">
        <v>3530</v>
      </c>
      <c r="J347" s="3">
        <v>100000</v>
      </c>
      <c r="K347" s="7" t="str" cm="1">
        <f t="array" ref="K347">IF(OR(C347="",B347="",I347=""),"",IFERROR((I347-_xlfn.XLOOKUP(1,(C$2:C$501=C347)*(B$2:B$501&lt;&gt;"")*(B$2:B$501=_xlfn.MAXIFS(B$2:B$501,C$2:C$501,C347,B$2:B$501,"&lt;"&amp;B347))*(I$2:I$501&lt;&gt;""),I$2:I$501))/_xlfn.XLOOKUP(1,(C$2:C$501=C347)*(B$2:B$501&lt;&gt;"")*(B$2:B$501=_xlfn.MAXIFS(B$2:B$501,C$2:C$501,C347,B$2:B$501,"&lt;"&amp;B347))*(I$2:I$501&lt;&gt;""),I$2:I$501),""))</f>
        <v/>
      </c>
    </row>
    <row r="348" spans="1:11">
      <c r="A348" t="s">
        <v>289</v>
      </c>
      <c r="B348" s="2">
        <v>46023</v>
      </c>
      <c r="C348" t="s">
        <v>43</v>
      </c>
      <c r="D348" t="s">
        <v>44</v>
      </c>
      <c r="E348" t="s">
        <v>23</v>
      </c>
      <c r="F348" s="3">
        <v>1000</v>
      </c>
      <c r="G348" s="3">
        <v>1049</v>
      </c>
      <c r="H348" s="3">
        <v>950</v>
      </c>
      <c r="I348" s="3">
        <v>998</v>
      </c>
      <c r="J348" s="3">
        <v>500000</v>
      </c>
      <c r="K348" s="7" t="str" cm="1">
        <f t="array" ref="K348">IF(OR(C348="",B348="",I348=""),"",IFERROR((I348-_xlfn.XLOOKUP(1,(C$2:C$501=C348)*(B$2:B$501&lt;&gt;"")*(B$2:B$501=_xlfn.MAXIFS(B$2:B$501,C$2:C$501,C348,B$2:B$501,"&lt;"&amp;B348))*(I$2:I$501&lt;&gt;""),I$2:I$501))/_xlfn.XLOOKUP(1,(C$2:C$501=C348)*(B$2:B$501&lt;&gt;"")*(B$2:B$501=_xlfn.MAXIFS(B$2:B$501,C$2:C$501,C348,B$2:B$501,"&lt;"&amp;B348))*(I$2:I$501&lt;&gt;""),I$2:I$501),""))</f>
        <v/>
      </c>
    </row>
    <row r="349" spans="1:11">
      <c r="A349" t="s">
        <v>290</v>
      </c>
      <c r="B349" s="2">
        <v>46082</v>
      </c>
      <c r="C349" t="s">
        <v>43</v>
      </c>
      <c r="D349" t="s">
        <v>44</v>
      </c>
      <c r="E349" t="s">
        <v>23</v>
      </c>
      <c r="F349" s="3">
        <v>2500</v>
      </c>
      <c r="G349" s="3">
        <v>2598</v>
      </c>
      <c r="H349" s="3">
        <v>2489</v>
      </c>
      <c r="I349" s="3">
        <v>2506</v>
      </c>
      <c r="J349" s="3">
        <v>100000</v>
      </c>
      <c r="K349" s="7" cm="1">
        <f t="array" ref="K349">IF(OR(C349="",B349="",I349=""),"",IFERROR((I349-_xlfn.XLOOKUP(1,(C$2:C$501=C349)*(B$2:B$501&lt;&gt;"")*(B$2:B$501=_xlfn.MAXIFS(B$2:B$501,C$2:C$501,C349,B$2:B$501,"&lt;"&amp;B349))*(I$2:I$501&lt;&gt;""),I$2:I$501))/_xlfn.XLOOKUP(1,(C$2:C$501=C349)*(B$2:B$501&lt;&gt;"")*(B$2:B$501=_xlfn.MAXIFS(B$2:B$501,C$2:C$501,C349,B$2:B$501,"&lt;"&amp;B349))*(I$2:I$501&lt;&gt;""),I$2:I$501),""))</f>
        <v>1.4096153846153847</v>
      </c>
    </row>
    <row r="350" spans="1:11">
      <c r="A350" t="s">
        <v>291</v>
      </c>
      <c r="B350" s="2">
        <v>46023</v>
      </c>
      <c r="C350" t="s">
        <v>12</v>
      </c>
      <c r="D350" t="s">
        <v>13</v>
      </c>
      <c r="E350" t="s">
        <v>37</v>
      </c>
      <c r="F350" s="3">
        <v>2500</v>
      </c>
      <c r="G350" s="3">
        <v>2560</v>
      </c>
      <c r="H350" s="3">
        <v>2453</v>
      </c>
      <c r="I350" s="3">
        <v>2520</v>
      </c>
      <c r="J350" s="3">
        <v>250000</v>
      </c>
      <c r="K350" s="7" t="str" cm="1">
        <f t="array" ref="K350">IF(OR(C350="",B350="",I350=""),"",IFERROR((I350-_xlfn.XLOOKUP(1,(C$2:C$501=C350)*(B$2:B$501&lt;&gt;"")*(B$2:B$501=_xlfn.MAXIFS(B$2:B$501,C$2:C$501,C350,B$2:B$501,"&lt;"&amp;B350))*(I$2:I$501&lt;&gt;""),I$2:I$501))/_xlfn.XLOOKUP(1,(C$2:C$501=C350)*(B$2:B$501&lt;&gt;"")*(B$2:B$501=_xlfn.MAXIFS(B$2:B$501,C$2:C$501,C350,B$2:B$501,"&lt;"&amp;B350))*(I$2:I$501&lt;&gt;""),I$2:I$501),""))</f>
        <v/>
      </c>
    </row>
    <row r="351" spans="1:11">
      <c r="A351" t="s">
        <v>291</v>
      </c>
      <c r="B351" s="2">
        <v>46054</v>
      </c>
      <c r="C351" t="s">
        <v>22</v>
      </c>
      <c r="D351" t="s">
        <v>22</v>
      </c>
      <c r="E351" t="s">
        <v>23</v>
      </c>
      <c r="F351" s="3">
        <v>3500</v>
      </c>
      <c r="G351" s="3">
        <v>3548</v>
      </c>
      <c r="H351" s="3">
        <v>3472</v>
      </c>
      <c r="I351" s="3">
        <v>3455</v>
      </c>
      <c r="J351" s="3"/>
      <c r="K351" s="7" cm="1">
        <f t="array" ref="K351">IF(OR(C351="",B351="",I351=""),"",IFERROR((I351-_xlfn.XLOOKUP(1,(C$2:C$501=C351)*(B$2:B$501&lt;&gt;"")*(B$2:B$501=_xlfn.MAXIFS(B$2:B$501,C$2:C$501,C351,B$2:B$501,"&lt;"&amp;B351))*(I$2:I$501&lt;&gt;""),I$2:I$501))/_xlfn.XLOOKUP(1,(C$2:C$501=C351)*(B$2:B$501&lt;&gt;"")*(B$2:B$501=_xlfn.MAXIFS(B$2:B$501,C$2:C$501,C351,B$2:B$501,"&lt;"&amp;B351))*(I$2:I$501&lt;&gt;""),I$2:I$501),""))</f>
        <v>2.529111338100102</v>
      </c>
    </row>
    <row r="352" spans="1:11">
      <c r="A352" t="s">
        <v>292</v>
      </c>
      <c r="B352" s="2">
        <v>46023</v>
      </c>
      <c r="C352" t="s">
        <v>26</v>
      </c>
      <c r="D352" t="s">
        <v>27</v>
      </c>
      <c r="E352" t="s">
        <v>28</v>
      </c>
      <c r="F352" s="3">
        <v>1000</v>
      </c>
      <c r="G352" s="3">
        <v>1054</v>
      </c>
      <c r="H352" s="3">
        <v>981</v>
      </c>
      <c r="I352" s="3">
        <v>969</v>
      </c>
      <c r="J352" s="3">
        <v>250000</v>
      </c>
      <c r="K352" s="7" t="str" cm="1">
        <f t="array" ref="K352">IF(OR(C352="",B352="",I352=""),"",IFERROR((I352-_xlfn.XLOOKUP(1,(C$2:C$501=C352)*(B$2:B$501&lt;&gt;"")*(B$2:B$501=_xlfn.MAXIFS(B$2:B$501,C$2:C$501,C352,B$2:B$501,"&lt;"&amp;B352))*(I$2:I$501&lt;&gt;""),I$2:I$501))/_xlfn.XLOOKUP(1,(C$2:C$501=C352)*(B$2:B$501&lt;&gt;"")*(B$2:B$501=_xlfn.MAXIFS(B$2:B$501,C$2:C$501,C352,B$2:B$501,"&lt;"&amp;B352))*(I$2:I$501&lt;&gt;""),I$2:I$501),""))</f>
        <v/>
      </c>
    </row>
    <row r="353" spans="1:11">
      <c r="A353" t="s">
        <v>293</v>
      </c>
      <c r="C353" t="s">
        <v>43</v>
      </c>
      <c r="D353" t="s">
        <v>44</v>
      </c>
      <c r="E353" t="s">
        <v>23</v>
      </c>
      <c r="F353" s="3">
        <v>2500</v>
      </c>
      <c r="G353" s="3">
        <v>2532</v>
      </c>
      <c r="H353" s="3">
        <v>2480</v>
      </c>
      <c r="I353" s="3">
        <v>2512</v>
      </c>
      <c r="J353" s="3">
        <v>250000</v>
      </c>
      <c r="K353" s="7" t="str" cm="1">
        <f t="array" ref="K353">IF(OR(C353="",B353="",I353=""),"",IFERROR((I353-_xlfn.XLOOKUP(1,(C$2:C$501=C353)*(B$2:B$501&lt;&gt;"")*(B$2:B$501=_xlfn.MAXIFS(B$2:B$501,C$2:C$501,C353,B$2:B$501,"&lt;"&amp;B353))*(I$2:I$501&lt;&gt;""),I$2:I$501))/_xlfn.XLOOKUP(1,(C$2:C$501=C353)*(B$2:B$501&lt;&gt;"")*(B$2:B$501=_xlfn.MAXIFS(B$2:B$501,C$2:C$501,C353,B$2:B$501,"&lt;"&amp;B353))*(I$2:I$501&lt;&gt;""),I$2:I$501),""))</f>
        <v/>
      </c>
    </row>
    <row r="354" spans="1:11">
      <c r="A354" t="s">
        <v>294</v>
      </c>
      <c r="B354" s="2">
        <v>46023</v>
      </c>
      <c r="C354" t="s">
        <v>26</v>
      </c>
      <c r="D354" t="s">
        <v>27</v>
      </c>
      <c r="E354" t="s">
        <v>28</v>
      </c>
      <c r="F354" s="3">
        <v>2500</v>
      </c>
      <c r="G354" s="3">
        <v>2590</v>
      </c>
      <c r="H354" s="3">
        <v>2490</v>
      </c>
      <c r="I354" s="3">
        <v>2483</v>
      </c>
      <c r="J354" s="3"/>
      <c r="K354" s="7" t="str" cm="1">
        <f t="array" ref="K354">IF(OR(C354="",B354="",I354=""),"",IFERROR((I354-_xlfn.XLOOKUP(1,(C$2:C$501=C354)*(B$2:B$501&lt;&gt;"")*(B$2:B$501=_xlfn.MAXIFS(B$2:B$501,C$2:C$501,C354,B$2:B$501,"&lt;"&amp;B354))*(I$2:I$501&lt;&gt;""),I$2:I$501))/_xlfn.XLOOKUP(1,(C$2:C$501=C354)*(B$2:B$501&lt;&gt;"")*(B$2:B$501=_xlfn.MAXIFS(B$2:B$501,C$2:C$501,C354,B$2:B$501,"&lt;"&amp;B354))*(I$2:I$501&lt;&gt;""),I$2:I$501),""))</f>
        <v/>
      </c>
    </row>
    <row r="355" spans="1:11">
      <c r="A355" t="s">
        <v>295</v>
      </c>
      <c r="B355" s="2">
        <v>46082</v>
      </c>
      <c r="C355" t="s">
        <v>12</v>
      </c>
      <c r="D355" t="s">
        <v>13</v>
      </c>
      <c r="E355" t="s">
        <v>37</v>
      </c>
      <c r="F355" s="3"/>
      <c r="G355" s="3"/>
      <c r="H355" s="3"/>
      <c r="I355" s="3"/>
      <c r="J355" s="3">
        <v>250000</v>
      </c>
      <c r="K355" s="7" t="str" cm="1">
        <f t="array" ref="K355">IF(OR(C355="",B355="",I355=""),"",IFERROR((I355-_xlfn.XLOOKUP(1,(C$2:C$501=C355)*(B$2:B$501&lt;&gt;"")*(B$2:B$501=_xlfn.MAXIFS(B$2:B$501,C$2:C$501,C355,B$2:B$501,"&lt;"&amp;B355))*(I$2:I$501&lt;&gt;""),I$2:I$501))/_xlfn.XLOOKUP(1,(C$2:C$501=C355)*(B$2:B$501&lt;&gt;"")*(B$2:B$501=_xlfn.MAXIFS(B$2:B$501,C$2:C$501,C355,B$2:B$501,"&lt;"&amp;B355))*(I$2:I$501&lt;&gt;""),I$2:I$501),""))</f>
        <v/>
      </c>
    </row>
    <row r="356" spans="1:11">
      <c r="A356" t="s">
        <v>296</v>
      </c>
      <c r="B356" s="2">
        <v>46023</v>
      </c>
      <c r="C356" t="s">
        <v>16</v>
      </c>
      <c r="D356" t="s">
        <v>17</v>
      </c>
      <c r="E356" t="s">
        <v>18</v>
      </c>
      <c r="F356" s="3">
        <v>3500</v>
      </c>
      <c r="G356" s="3">
        <v>3527</v>
      </c>
      <c r="H356" s="3">
        <v>3483</v>
      </c>
      <c r="I356" s="3">
        <v>3515</v>
      </c>
      <c r="J356" s="3">
        <v>100000</v>
      </c>
      <c r="K356" s="7" t="str" cm="1">
        <f t="array" ref="K356">IF(OR(C356="",B356="",I356=""),"",IFERROR((I356-_xlfn.XLOOKUP(1,(C$2:C$501=C356)*(B$2:B$501&lt;&gt;"")*(B$2:B$501=_xlfn.MAXIFS(B$2:B$501,C$2:C$501,C356,B$2:B$501,"&lt;"&amp;B356))*(I$2:I$501&lt;&gt;""),I$2:I$501))/_xlfn.XLOOKUP(1,(C$2:C$501=C356)*(B$2:B$501&lt;&gt;"")*(B$2:B$501=_xlfn.MAXIFS(B$2:B$501,C$2:C$501,C356,B$2:B$501,"&lt;"&amp;B356))*(I$2:I$501&lt;&gt;""),I$2:I$501),""))</f>
        <v/>
      </c>
    </row>
    <row r="357" spans="1:11">
      <c r="A357" t="s">
        <v>297</v>
      </c>
      <c r="B357" s="2">
        <v>46054</v>
      </c>
      <c r="C357" t="s">
        <v>22</v>
      </c>
      <c r="D357" t="s">
        <v>22</v>
      </c>
      <c r="E357" t="s">
        <v>23</v>
      </c>
      <c r="F357" s="3">
        <v>2500</v>
      </c>
      <c r="G357" s="3">
        <v>2540</v>
      </c>
      <c r="H357" s="3">
        <v>2422</v>
      </c>
      <c r="I357" s="3">
        <v>2535</v>
      </c>
      <c r="J357" s="3"/>
      <c r="K357" s="7" cm="1">
        <f t="array" ref="K357">IF(OR(C357="",B357="",I357=""),"",IFERROR((I357-_xlfn.XLOOKUP(1,(C$2:C$501=C357)*(B$2:B$501&lt;&gt;"")*(B$2:B$501=_xlfn.MAXIFS(B$2:B$501,C$2:C$501,C357,B$2:B$501,"&lt;"&amp;B357))*(I$2:I$501&lt;&gt;""),I$2:I$501))/_xlfn.XLOOKUP(1,(C$2:C$501=C357)*(B$2:B$501&lt;&gt;"")*(B$2:B$501=_xlfn.MAXIFS(B$2:B$501,C$2:C$501,C357,B$2:B$501,"&lt;"&amp;B357))*(I$2:I$501&lt;&gt;""),I$2:I$501),""))</f>
        <v>1.5893769152196118</v>
      </c>
    </row>
    <row r="358" spans="1:11">
      <c r="A358" t="s">
        <v>297</v>
      </c>
      <c r="B358" s="2">
        <v>46023</v>
      </c>
      <c r="C358" t="s">
        <v>22</v>
      </c>
      <c r="D358" t="s">
        <v>22</v>
      </c>
      <c r="E358" t="s">
        <v>23</v>
      </c>
      <c r="F358" s="3">
        <v>3500</v>
      </c>
      <c r="G358" s="3">
        <v>3519</v>
      </c>
      <c r="H358" s="3">
        <v>3480</v>
      </c>
      <c r="I358" s="3">
        <v>3528</v>
      </c>
      <c r="J358" s="3">
        <v>100000</v>
      </c>
      <c r="K358" s="7" t="str" cm="1">
        <f t="array" ref="K358">IF(OR(C358="",B358="",I358=""),"",IFERROR((I358-_xlfn.XLOOKUP(1,(C$2:C$501=C358)*(B$2:B$501&lt;&gt;"")*(B$2:B$501=_xlfn.MAXIFS(B$2:B$501,C$2:C$501,C358,B$2:B$501,"&lt;"&amp;B358))*(I$2:I$501&lt;&gt;""),I$2:I$501))/_xlfn.XLOOKUP(1,(C$2:C$501=C358)*(B$2:B$501&lt;&gt;"")*(B$2:B$501=_xlfn.MAXIFS(B$2:B$501,C$2:C$501,C358,B$2:B$501,"&lt;"&amp;B358))*(I$2:I$501&lt;&gt;""),I$2:I$501),""))</f>
        <v/>
      </c>
    </row>
    <row r="359" spans="1:11">
      <c r="A359" t="s">
        <v>298</v>
      </c>
      <c r="B359" s="2">
        <v>46082</v>
      </c>
      <c r="C359" t="s">
        <v>16</v>
      </c>
      <c r="D359" t="s">
        <v>17</v>
      </c>
      <c r="E359" t="s">
        <v>18</v>
      </c>
      <c r="F359" s="3">
        <v>2500</v>
      </c>
      <c r="G359" s="3">
        <v>2584</v>
      </c>
      <c r="H359" s="3">
        <v>2470</v>
      </c>
      <c r="I359" s="3">
        <v>2476</v>
      </c>
      <c r="J359" s="3">
        <v>500000</v>
      </c>
      <c r="K359" s="7" cm="1">
        <f t="array" ref="K359">IF(OR(C359="",B359="",I359=""),"",IFERROR((I359-_xlfn.XLOOKUP(1,(C$2:C$501=C359)*(B$2:B$501&lt;&gt;"")*(B$2:B$501=_xlfn.MAXIFS(B$2:B$501,C$2:C$501,C359,B$2:B$501,"&lt;"&amp;B359))*(I$2:I$501&lt;&gt;""),I$2:I$501))/_xlfn.XLOOKUP(1,(C$2:C$501=C359)*(B$2:B$501&lt;&gt;"")*(B$2:B$501=_xlfn.MAXIFS(B$2:B$501,C$2:C$501,C359,B$2:B$501,"&lt;"&amp;B359))*(I$2:I$501&lt;&gt;""),I$2:I$501),""))</f>
        <v>-0.28666090463843275</v>
      </c>
    </row>
    <row r="360" spans="1:11">
      <c r="A360" t="s">
        <v>299</v>
      </c>
      <c r="B360" s="2">
        <v>46082</v>
      </c>
      <c r="C360" t="s">
        <v>26</v>
      </c>
      <c r="D360" t="s">
        <v>27</v>
      </c>
      <c r="E360" t="s">
        <v>28</v>
      </c>
      <c r="F360" s="3">
        <v>1000</v>
      </c>
      <c r="G360" s="3">
        <v>1037</v>
      </c>
      <c r="H360" s="3">
        <v>953</v>
      </c>
      <c r="I360" s="3">
        <v>1025</v>
      </c>
      <c r="J360" s="3">
        <v>500000</v>
      </c>
      <c r="K360" s="7" cm="1">
        <f t="array" ref="K360">IF(OR(C360="",B360="",I360=""),"",IFERROR((I360-_xlfn.XLOOKUP(1,(C$2:C$501=C360)*(B$2:B$501&lt;&gt;"")*(B$2:B$501=_xlfn.MAXIFS(B$2:B$501,C$2:C$501,C360,B$2:B$501,"&lt;"&amp;B360))*(I$2:I$501&lt;&gt;""),I$2:I$501))/_xlfn.XLOOKUP(1,(C$2:C$501=C360)*(B$2:B$501&lt;&gt;"")*(B$2:B$501=_xlfn.MAXIFS(B$2:B$501,C$2:C$501,C360,B$2:B$501,"&lt;"&amp;B360))*(I$2:I$501&lt;&gt;""),I$2:I$501),""))</f>
        <v>-0.70963172804532582</v>
      </c>
    </row>
    <row r="361" spans="1:11">
      <c r="A361" t="s">
        <v>300</v>
      </c>
      <c r="B361" s="2">
        <v>46023</v>
      </c>
      <c r="C361" t="s">
        <v>43</v>
      </c>
      <c r="D361" t="s">
        <v>44</v>
      </c>
      <c r="E361" t="s">
        <v>23</v>
      </c>
      <c r="F361" s="3"/>
      <c r="G361" s="3"/>
      <c r="H361" s="3"/>
      <c r="I361" s="3"/>
      <c r="J361" s="3">
        <v>500000</v>
      </c>
      <c r="K361" s="7" t="str" cm="1">
        <f t="array" ref="K361">IF(OR(C361="",B361="",I361=""),"",IFERROR((I361-_xlfn.XLOOKUP(1,(C$2:C$501=C361)*(B$2:B$501&lt;&gt;"")*(B$2:B$501=_xlfn.MAXIFS(B$2:B$501,C$2:C$501,C361,B$2:B$501,"&lt;"&amp;B361))*(I$2:I$501&lt;&gt;""),I$2:I$501))/_xlfn.XLOOKUP(1,(C$2:C$501=C361)*(B$2:B$501&lt;&gt;"")*(B$2:B$501=_xlfn.MAXIFS(B$2:B$501,C$2:C$501,C361,B$2:B$501,"&lt;"&amp;B361))*(I$2:I$501&lt;&gt;""),I$2:I$501),""))</f>
        <v/>
      </c>
    </row>
    <row r="362" spans="1:11">
      <c r="A362" t="s">
        <v>301</v>
      </c>
      <c r="B362" s="2">
        <v>46054</v>
      </c>
      <c r="C362" t="s">
        <v>26</v>
      </c>
      <c r="D362" t="s">
        <v>27</v>
      </c>
      <c r="E362" t="s">
        <v>28</v>
      </c>
      <c r="F362" s="3">
        <v>2500</v>
      </c>
      <c r="G362" s="3">
        <v>2571</v>
      </c>
      <c r="H362" s="3">
        <v>2437</v>
      </c>
      <c r="I362" s="3">
        <v>2456</v>
      </c>
      <c r="J362" s="3">
        <v>500000</v>
      </c>
      <c r="K362" s="7" cm="1">
        <f t="array" ref="K362">IF(OR(C362="",B362="",I362=""),"",IFERROR((I362-_xlfn.XLOOKUP(1,(C$2:C$501=C362)*(B$2:B$501&lt;&gt;"")*(B$2:B$501=_xlfn.MAXIFS(B$2:B$501,C$2:C$501,C362,B$2:B$501,"&lt;"&amp;B362))*(I$2:I$501&lt;&gt;""),I$2:I$501))/_xlfn.XLOOKUP(1,(C$2:C$501=C362)*(B$2:B$501&lt;&gt;"")*(B$2:B$501=_xlfn.MAXIFS(B$2:B$501,C$2:C$501,C362,B$2:B$501,"&lt;"&amp;B362))*(I$2:I$501&lt;&gt;""),I$2:I$501),""))</f>
        <v>-2.8865164096480822E-2</v>
      </c>
    </row>
    <row r="363" spans="1:11">
      <c r="A363" t="s">
        <v>301</v>
      </c>
      <c r="B363" s="2">
        <v>46023</v>
      </c>
      <c r="C363" t="s">
        <v>22</v>
      </c>
      <c r="D363" t="s">
        <v>22</v>
      </c>
      <c r="E363" t="s">
        <v>23</v>
      </c>
      <c r="F363" s="3">
        <v>3500</v>
      </c>
      <c r="G363" s="3">
        <v>3558</v>
      </c>
      <c r="H363" s="3">
        <v>3475</v>
      </c>
      <c r="I363" s="3">
        <v>3483</v>
      </c>
      <c r="J363" s="3">
        <v>250000</v>
      </c>
      <c r="K363" s="7" t="str" cm="1">
        <f t="array" ref="K363">IF(OR(C363="",B363="",I363=""),"",IFERROR((I363-_xlfn.XLOOKUP(1,(C$2:C$501=C363)*(B$2:B$501&lt;&gt;"")*(B$2:B$501=_xlfn.MAXIFS(B$2:B$501,C$2:C$501,C363,B$2:B$501,"&lt;"&amp;B363))*(I$2:I$501&lt;&gt;""),I$2:I$501))/_xlfn.XLOOKUP(1,(C$2:C$501=C363)*(B$2:B$501&lt;&gt;"")*(B$2:B$501=_xlfn.MAXIFS(B$2:B$501,C$2:C$501,C363,B$2:B$501,"&lt;"&amp;B363))*(I$2:I$501&lt;&gt;""),I$2:I$501),""))</f>
        <v/>
      </c>
    </row>
    <row r="364" spans="1:11">
      <c r="A364" t="s">
        <v>302</v>
      </c>
      <c r="B364" s="2">
        <v>46054</v>
      </c>
      <c r="C364" t="s">
        <v>43</v>
      </c>
      <c r="D364" t="s">
        <v>44</v>
      </c>
      <c r="E364" t="s">
        <v>23</v>
      </c>
      <c r="F364" s="3">
        <v>2500</v>
      </c>
      <c r="G364" s="3">
        <v>2548</v>
      </c>
      <c r="H364" s="3">
        <v>2435</v>
      </c>
      <c r="I364" s="3">
        <v>2493</v>
      </c>
      <c r="J364" s="3">
        <v>100000</v>
      </c>
      <c r="K364" s="7" cm="1">
        <f t="array" ref="K364">IF(OR(C364="",B364="",I364=""),"",IFERROR((I364-_xlfn.XLOOKUP(1,(C$2:C$501=C364)*(B$2:B$501&lt;&gt;"")*(B$2:B$501=_xlfn.MAXIFS(B$2:B$501,C$2:C$501,C364,B$2:B$501,"&lt;"&amp;B364))*(I$2:I$501&lt;&gt;""),I$2:I$501))/_xlfn.XLOOKUP(1,(C$2:C$501=C364)*(B$2:B$501&lt;&gt;"")*(B$2:B$501=_xlfn.MAXIFS(B$2:B$501,C$2:C$501,C364,B$2:B$501,"&lt;"&amp;B364))*(I$2:I$501&lt;&gt;""),I$2:I$501),""))</f>
        <v>3.2193158953722333E-3</v>
      </c>
    </row>
    <row r="365" spans="1:11">
      <c r="A365" t="s">
        <v>302</v>
      </c>
      <c r="C365" t="s">
        <v>12</v>
      </c>
      <c r="D365" t="s">
        <v>13</v>
      </c>
      <c r="E365" t="s">
        <v>37</v>
      </c>
      <c r="F365" s="3"/>
      <c r="G365" s="3"/>
      <c r="H365" s="3"/>
      <c r="I365" s="3"/>
      <c r="J365" s="3">
        <v>250000</v>
      </c>
      <c r="K365" s="7" t="str" cm="1">
        <f t="array" ref="K365">IF(OR(C365="",B365="",I365=""),"",IFERROR((I365-_xlfn.XLOOKUP(1,(C$2:C$501=C365)*(B$2:B$501&lt;&gt;"")*(B$2:B$501=_xlfn.MAXIFS(B$2:B$501,C$2:C$501,C365,B$2:B$501,"&lt;"&amp;B365))*(I$2:I$501&lt;&gt;""),I$2:I$501))/_xlfn.XLOOKUP(1,(C$2:C$501=C365)*(B$2:B$501&lt;&gt;"")*(B$2:B$501=_xlfn.MAXIFS(B$2:B$501,C$2:C$501,C365,B$2:B$501,"&lt;"&amp;B365))*(I$2:I$501&lt;&gt;""),I$2:I$501),""))</f>
        <v/>
      </c>
    </row>
    <row r="366" spans="1:11">
      <c r="A366" t="s">
        <v>303</v>
      </c>
      <c r="B366" s="2">
        <v>46054</v>
      </c>
      <c r="C366" t="s">
        <v>16</v>
      </c>
      <c r="D366" t="s">
        <v>17</v>
      </c>
      <c r="E366" t="s">
        <v>18</v>
      </c>
      <c r="F366" s="3">
        <v>2500</v>
      </c>
      <c r="G366" s="3">
        <v>2539</v>
      </c>
      <c r="H366" s="3">
        <v>2490</v>
      </c>
      <c r="I366" s="3">
        <v>2476</v>
      </c>
      <c r="J366" s="3"/>
      <c r="K366" s="7" cm="1">
        <f t="array" ref="K366">IF(OR(C366="",B366="",I366=""),"",IFERROR((I366-_xlfn.XLOOKUP(1,(C$2:C$501=C366)*(B$2:B$501&lt;&gt;"")*(B$2:B$501=_xlfn.MAXIFS(B$2:B$501,C$2:C$501,C366,B$2:B$501,"&lt;"&amp;B366))*(I$2:I$501&lt;&gt;""),I$2:I$501))/_xlfn.XLOOKUP(1,(C$2:C$501=C366)*(B$2:B$501&lt;&gt;"")*(B$2:B$501=_xlfn.MAXIFS(B$2:B$501,C$2:C$501,C366,B$2:B$501,"&lt;"&amp;B366))*(I$2:I$501&lt;&gt;""),I$2:I$501),""))</f>
        <v>-1.2101653892698668E-3</v>
      </c>
    </row>
    <row r="367" spans="1:11">
      <c r="A367" t="s">
        <v>303</v>
      </c>
      <c r="B367" s="2">
        <v>46082</v>
      </c>
      <c r="C367" t="s">
        <v>26</v>
      </c>
      <c r="D367" t="s">
        <v>27</v>
      </c>
      <c r="E367" t="s">
        <v>28</v>
      </c>
      <c r="F367" s="3">
        <v>1000</v>
      </c>
      <c r="G367" s="3">
        <v>1055</v>
      </c>
      <c r="H367" s="3">
        <v>927</v>
      </c>
      <c r="I367" s="3">
        <v>1016</v>
      </c>
      <c r="J367" s="3">
        <v>500000</v>
      </c>
      <c r="K367" s="7" cm="1">
        <f t="array" ref="K367">IF(OR(C367="",B367="",I367=""),"",IFERROR((I367-_xlfn.XLOOKUP(1,(C$2:C$501=C367)*(B$2:B$501&lt;&gt;"")*(B$2:B$501=_xlfn.MAXIFS(B$2:B$501,C$2:C$501,C367,B$2:B$501,"&lt;"&amp;B367))*(I$2:I$501&lt;&gt;""),I$2:I$501))/_xlfn.XLOOKUP(1,(C$2:C$501=C367)*(B$2:B$501&lt;&gt;"")*(B$2:B$501=_xlfn.MAXIFS(B$2:B$501,C$2:C$501,C367,B$2:B$501,"&lt;"&amp;B367))*(I$2:I$501&lt;&gt;""),I$2:I$501),""))</f>
        <v>-0.71218130311614736</v>
      </c>
    </row>
    <row r="368" spans="1:11">
      <c r="A368" t="s">
        <v>304</v>
      </c>
      <c r="B368" s="2">
        <v>46054</v>
      </c>
      <c r="C368" t="s">
        <v>26</v>
      </c>
      <c r="D368" t="s">
        <v>27</v>
      </c>
      <c r="E368" t="s">
        <v>28</v>
      </c>
      <c r="F368" s="3"/>
      <c r="G368" s="3"/>
      <c r="H368" s="3"/>
      <c r="I368" s="3"/>
      <c r="J368" s="3">
        <v>500000</v>
      </c>
      <c r="K368" s="7" t="str" cm="1">
        <f t="array" ref="K368">IF(OR(C368="",B368="",I368=""),"",IFERROR((I368-_xlfn.XLOOKUP(1,(C$2:C$501=C368)*(B$2:B$501&lt;&gt;"")*(B$2:B$501=_xlfn.MAXIFS(B$2:B$501,C$2:C$501,C368,B$2:B$501,"&lt;"&amp;B368))*(I$2:I$501&lt;&gt;""),I$2:I$501))/_xlfn.XLOOKUP(1,(C$2:C$501=C368)*(B$2:B$501&lt;&gt;"")*(B$2:B$501=_xlfn.MAXIFS(B$2:B$501,C$2:C$501,C368,B$2:B$501,"&lt;"&amp;B368))*(I$2:I$501&lt;&gt;""),I$2:I$501),""))</f>
        <v/>
      </c>
    </row>
    <row r="369" spans="1:11">
      <c r="A369" t="s">
        <v>305</v>
      </c>
      <c r="B369" s="2">
        <v>46054</v>
      </c>
      <c r="C369" t="s">
        <v>26</v>
      </c>
      <c r="D369" t="s">
        <v>27</v>
      </c>
      <c r="E369" t="s">
        <v>28</v>
      </c>
      <c r="F369" s="3">
        <v>2500</v>
      </c>
      <c r="G369" s="3">
        <v>2515</v>
      </c>
      <c r="H369" s="3">
        <v>2470</v>
      </c>
      <c r="I369" s="3">
        <v>2534</v>
      </c>
      <c r="J369" s="3"/>
      <c r="K369" s="7" cm="1">
        <f t="array" ref="K369">IF(OR(C369="",B369="",I369=""),"",IFERROR((I369-_xlfn.XLOOKUP(1,(C$2:C$501=C369)*(B$2:B$501&lt;&gt;"")*(B$2:B$501=_xlfn.MAXIFS(B$2:B$501,C$2:C$501,C369,B$2:B$501,"&lt;"&amp;B369))*(I$2:I$501&lt;&gt;""),I$2:I$501))/_xlfn.XLOOKUP(1,(C$2:C$501=C369)*(B$2:B$501&lt;&gt;"")*(B$2:B$501=_xlfn.MAXIFS(B$2:B$501,C$2:C$501,C369,B$2:B$501,"&lt;"&amp;B369))*(I$2:I$501&lt;&gt;""),I$2:I$501),""))</f>
        <v>1.9770660340055358E-3</v>
      </c>
    </row>
    <row r="370" spans="1:11">
      <c r="A370" t="s">
        <v>306</v>
      </c>
      <c r="B370" s="2">
        <v>46082</v>
      </c>
      <c r="C370" t="s">
        <v>22</v>
      </c>
      <c r="D370" t="s">
        <v>22</v>
      </c>
      <c r="E370" t="s">
        <v>23</v>
      </c>
      <c r="F370" s="3">
        <v>1000</v>
      </c>
      <c r="G370" s="3">
        <v>1074</v>
      </c>
      <c r="H370" s="3">
        <v>971</v>
      </c>
      <c r="I370" s="3">
        <v>1013</v>
      </c>
      <c r="J370" s="3">
        <v>100000</v>
      </c>
      <c r="K370" s="7" cm="1">
        <f t="array" ref="K370">IF(OR(C370="",B370="",I370=""),"",IFERROR((I370-_xlfn.XLOOKUP(1,(C$2:C$501=C370)*(B$2:B$501&lt;&gt;"")*(B$2:B$501=_xlfn.MAXIFS(B$2:B$501,C$2:C$501,C370,B$2:B$501,"&lt;"&amp;B370))*(I$2:I$501&lt;&gt;""),I$2:I$501))/_xlfn.XLOOKUP(1,(C$2:C$501=C370)*(B$2:B$501&lt;&gt;"")*(B$2:B$501=_xlfn.MAXIFS(B$2:B$501,C$2:C$501,C370,B$2:B$501,"&lt;"&amp;B370))*(I$2:I$501&lt;&gt;""),I$2:I$501),""))</f>
        <v>-0.71270561542824729</v>
      </c>
    </row>
    <row r="371" spans="1:11">
      <c r="A371" t="s">
        <v>306</v>
      </c>
      <c r="B371" s="2">
        <v>46082</v>
      </c>
      <c r="C371" t="s">
        <v>16</v>
      </c>
      <c r="D371" t="s">
        <v>17</v>
      </c>
      <c r="E371" t="s">
        <v>18</v>
      </c>
      <c r="F371" s="3">
        <v>3500</v>
      </c>
      <c r="G371" s="3">
        <v>3566</v>
      </c>
      <c r="H371" s="3">
        <v>3476</v>
      </c>
      <c r="I371" s="3">
        <v>3536</v>
      </c>
      <c r="J371" s="3">
        <v>250000</v>
      </c>
      <c r="K371" s="7" cm="1">
        <f t="array" ref="K371">IF(OR(C371="",B371="",I371=""),"",IFERROR((I371-_xlfn.XLOOKUP(1,(C$2:C$501=C371)*(B$2:B$501&lt;&gt;"")*(B$2:B$501=_xlfn.MAXIFS(B$2:B$501,C$2:C$501,C371,B$2:B$501,"&lt;"&amp;B371))*(I$2:I$501&lt;&gt;""),I$2:I$501))/_xlfn.XLOOKUP(1,(C$2:C$501=C371)*(B$2:B$501&lt;&gt;"")*(B$2:B$501=_xlfn.MAXIFS(B$2:B$501,C$2:C$501,C371,B$2:B$501,"&lt;"&amp;B371))*(I$2:I$501&lt;&gt;""),I$2:I$501),""))</f>
        <v>1.8726591760299626E-2</v>
      </c>
    </row>
    <row r="372" spans="1:11">
      <c r="A372" t="s">
        <v>307</v>
      </c>
      <c r="B372" s="2">
        <v>46082</v>
      </c>
      <c r="C372" t="s">
        <v>26</v>
      </c>
      <c r="D372" t="s">
        <v>27</v>
      </c>
      <c r="E372" t="s">
        <v>28</v>
      </c>
      <c r="F372" s="3"/>
      <c r="G372" s="3"/>
      <c r="H372" s="3"/>
      <c r="I372" s="3"/>
      <c r="J372" s="3">
        <v>100000</v>
      </c>
      <c r="K372" s="7" t="str" cm="1">
        <f t="array" ref="K372">IF(OR(C372="",B372="",I372=""),"",IFERROR((I372-_xlfn.XLOOKUP(1,(C$2:C$501=C372)*(B$2:B$501&lt;&gt;"")*(B$2:B$501=_xlfn.MAXIFS(B$2:B$501,C$2:C$501,C372,B$2:B$501,"&lt;"&amp;B372))*(I$2:I$501&lt;&gt;""),I$2:I$501))/_xlfn.XLOOKUP(1,(C$2:C$501=C372)*(B$2:B$501&lt;&gt;"")*(B$2:B$501=_xlfn.MAXIFS(B$2:B$501,C$2:C$501,C372,B$2:B$501,"&lt;"&amp;B372))*(I$2:I$501&lt;&gt;""),I$2:I$501),""))</f>
        <v/>
      </c>
    </row>
    <row r="373" spans="1:11">
      <c r="A373" t="s">
        <v>307</v>
      </c>
      <c r="B373" s="2">
        <v>46054</v>
      </c>
      <c r="C373" t="s">
        <v>43</v>
      </c>
      <c r="D373" t="s">
        <v>44</v>
      </c>
      <c r="E373" t="s">
        <v>23</v>
      </c>
      <c r="F373" s="3">
        <v>1000</v>
      </c>
      <c r="G373" s="3">
        <v>1081</v>
      </c>
      <c r="H373" s="3">
        <v>949</v>
      </c>
      <c r="I373" s="3">
        <v>976</v>
      </c>
      <c r="J373" s="3">
        <v>100000</v>
      </c>
      <c r="K373" s="7" cm="1">
        <f t="array" ref="K373">IF(OR(C373="",B373="",I373=""),"",IFERROR((I373-_xlfn.XLOOKUP(1,(C$2:C$501=C373)*(B$2:B$501&lt;&gt;"")*(B$2:B$501=_xlfn.MAXIFS(B$2:B$501,C$2:C$501,C373,B$2:B$501,"&lt;"&amp;B373))*(I$2:I$501&lt;&gt;""),I$2:I$501))/_xlfn.XLOOKUP(1,(C$2:C$501=C373)*(B$2:B$501&lt;&gt;"")*(B$2:B$501=_xlfn.MAXIFS(B$2:B$501,C$2:C$501,C373,B$2:B$501,"&lt;"&amp;B373))*(I$2:I$501&lt;&gt;""),I$2:I$501),""))</f>
        <v>-0.60724346076458757</v>
      </c>
    </row>
    <row r="374" spans="1:11">
      <c r="A374" t="s">
        <v>308</v>
      </c>
      <c r="C374" t="s">
        <v>12</v>
      </c>
      <c r="D374" t="s">
        <v>13</v>
      </c>
      <c r="E374" t="s">
        <v>37</v>
      </c>
      <c r="F374" s="3">
        <v>3500</v>
      </c>
      <c r="G374" s="3">
        <v>3533</v>
      </c>
      <c r="H374" s="3">
        <v>3429</v>
      </c>
      <c r="I374" s="3">
        <v>3478</v>
      </c>
      <c r="J374" s="3">
        <v>250000</v>
      </c>
      <c r="K374" s="7" t="str" cm="1">
        <f t="array" ref="K374">IF(OR(C374="",B374="",I374=""),"",IFERROR((I374-_xlfn.XLOOKUP(1,(C$2:C$501=C374)*(B$2:B$501&lt;&gt;"")*(B$2:B$501=_xlfn.MAXIFS(B$2:B$501,C$2:C$501,C374,B$2:B$501,"&lt;"&amp;B374))*(I$2:I$501&lt;&gt;""),I$2:I$501))/_xlfn.XLOOKUP(1,(C$2:C$501=C374)*(B$2:B$501&lt;&gt;"")*(B$2:B$501=_xlfn.MAXIFS(B$2:B$501,C$2:C$501,C374,B$2:B$501,"&lt;"&amp;B374))*(I$2:I$501&lt;&gt;""),I$2:I$501),""))</f>
        <v/>
      </c>
    </row>
    <row r="375" spans="1:11">
      <c r="A375" t="s">
        <v>309</v>
      </c>
      <c r="B375" s="2">
        <v>46023</v>
      </c>
      <c r="C375" t="s">
        <v>12</v>
      </c>
      <c r="D375" t="s">
        <v>13</v>
      </c>
      <c r="E375" t="s">
        <v>37</v>
      </c>
      <c r="F375" s="3"/>
      <c r="G375" s="3"/>
      <c r="H375" s="3"/>
      <c r="I375" s="3"/>
      <c r="J375" s="3">
        <v>500000</v>
      </c>
      <c r="K375" s="7" t="str" cm="1">
        <f t="array" ref="K375">IF(OR(C375="",B375="",I375=""),"",IFERROR((I375-_xlfn.XLOOKUP(1,(C$2:C$501=C375)*(B$2:B$501&lt;&gt;"")*(B$2:B$501=_xlfn.MAXIFS(B$2:B$501,C$2:C$501,C375,B$2:B$501,"&lt;"&amp;B375))*(I$2:I$501&lt;&gt;""),I$2:I$501))/_xlfn.XLOOKUP(1,(C$2:C$501=C375)*(B$2:B$501&lt;&gt;"")*(B$2:B$501=_xlfn.MAXIFS(B$2:B$501,C$2:C$501,C375,B$2:B$501,"&lt;"&amp;B375))*(I$2:I$501&lt;&gt;""),I$2:I$501),""))</f>
        <v/>
      </c>
    </row>
    <row r="376" spans="1:11">
      <c r="A376" t="s">
        <v>309</v>
      </c>
      <c r="B376" s="2">
        <v>46054</v>
      </c>
      <c r="C376" t="s">
        <v>16</v>
      </c>
      <c r="D376" t="s">
        <v>17</v>
      </c>
      <c r="E376" t="s">
        <v>18</v>
      </c>
      <c r="F376" s="3"/>
      <c r="G376" s="3"/>
      <c r="H376" s="3"/>
      <c r="I376" s="3"/>
      <c r="J376" s="3">
        <v>100000</v>
      </c>
      <c r="K376" s="7" t="str" cm="1">
        <f t="array" ref="K376">IF(OR(C376="",B376="",I376=""),"",IFERROR((I376-_xlfn.XLOOKUP(1,(C$2:C$501=C376)*(B$2:B$501&lt;&gt;"")*(B$2:B$501=_xlfn.MAXIFS(B$2:B$501,C$2:C$501,C376,B$2:B$501,"&lt;"&amp;B376))*(I$2:I$501&lt;&gt;""),I$2:I$501))/_xlfn.XLOOKUP(1,(C$2:C$501=C376)*(B$2:B$501&lt;&gt;"")*(B$2:B$501=_xlfn.MAXIFS(B$2:B$501,C$2:C$501,C376,B$2:B$501,"&lt;"&amp;B376))*(I$2:I$501&lt;&gt;""),I$2:I$501),""))</f>
        <v/>
      </c>
    </row>
    <row r="377" spans="1:11">
      <c r="A377" t="s">
        <v>310</v>
      </c>
      <c r="B377" s="2">
        <v>46054</v>
      </c>
      <c r="C377" t="s">
        <v>16</v>
      </c>
      <c r="D377" t="s">
        <v>17</v>
      </c>
      <c r="E377" t="s">
        <v>18</v>
      </c>
      <c r="F377" s="3">
        <v>1000</v>
      </c>
      <c r="G377" s="3">
        <v>1050</v>
      </c>
      <c r="H377" s="3">
        <v>951</v>
      </c>
      <c r="I377" s="3">
        <v>951</v>
      </c>
      <c r="J377" s="3">
        <v>250000</v>
      </c>
      <c r="K377" s="7" cm="1">
        <f t="array" ref="K377">IF(OR(C377="",B377="",I377=""),"",IFERROR((I377-_xlfn.XLOOKUP(1,(C$2:C$501=C377)*(B$2:B$501&lt;&gt;"")*(B$2:B$501=_xlfn.MAXIFS(B$2:B$501,C$2:C$501,C377,B$2:B$501,"&lt;"&amp;B377))*(I$2:I$501&lt;&gt;""),I$2:I$501))/_xlfn.XLOOKUP(1,(C$2:C$501=C377)*(B$2:B$501&lt;&gt;"")*(B$2:B$501=_xlfn.MAXIFS(B$2:B$501,C$2:C$501,C377,B$2:B$501,"&lt;"&amp;B377))*(I$2:I$501&lt;&gt;""),I$2:I$501),""))</f>
        <v>-0.61637757160145223</v>
      </c>
    </row>
    <row r="378" spans="1:11">
      <c r="A378" t="s">
        <v>311</v>
      </c>
      <c r="B378" s="2">
        <v>46023</v>
      </c>
      <c r="C378" t="s">
        <v>22</v>
      </c>
      <c r="D378" t="s">
        <v>22</v>
      </c>
      <c r="E378" t="s">
        <v>23</v>
      </c>
      <c r="F378" s="3"/>
      <c r="G378" s="3"/>
      <c r="H378" s="3"/>
      <c r="I378" s="3"/>
      <c r="J378" s="3">
        <v>250000</v>
      </c>
      <c r="K378" s="7" t="str" cm="1">
        <f t="array" ref="K378">IF(OR(C378="",B378="",I378=""),"",IFERROR((I378-_xlfn.XLOOKUP(1,(C$2:C$501=C378)*(B$2:B$501&lt;&gt;"")*(B$2:B$501=_xlfn.MAXIFS(B$2:B$501,C$2:C$501,C378,B$2:B$501,"&lt;"&amp;B378))*(I$2:I$501&lt;&gt;""),I$2:I$501))/_xlfn.XLOOKUP(1,(C$2:C$501=C378)*(B$2:B$501&lt;&gt;"")*(B$2:B$501=_xlfn.MAXIFS(B$2:B$501,C$2:C$501,C378,B$2:B$501,"&lt;"&amp;B378))*(I$2:I$501&lt;&gt;""),I$2:I$501),""))</f>
        <v/>
      </c>
    </row>
    <row r="379" spans="1:11">
      <c r="A379" t="s">
        <v>312</v>
      </c>
      <c r="C379" t="s">
        <v>43</v>
      </c>
      <c r="D379" t="s">
        <v>44</v>
      </c>
      <c r="E379" t="s">
        <v>23</v>
      </c>
      <c r="F379" s="3">
        <v>1000</v>
      </c>
      <c r="G379" s="3">
        <v>1075</v>
      </c>
      <c r="H379" s="3">
        <v>947</v>
      </c>
      <c r="I379" s="3">
        <v>972</v>
      </c>
      <c r="J379" s="3"/>
      <c r="K379" s="7" t="str" cm="1">
        <f t="array" ref="K379">IF(OR(C379="",B379="",I379=""),"",IFERROR((I379-_xlfn.XLOOKUP(1,(C$2:C$501=C379)*(B$2:B$501&lt;&gt;"")*(B$2:B$501=_xlfn.MAXIFS(B$2:B$501,C$2:C$501,C379,B$2:B$501,"&lt;"&amp;B379))*(I$2:I$501&lt;&gt;""),I$2:I$501))/_xlfn.XLOOKUP(1,(C$2:C$501=C379)*(B$2:B$501&lt;&gt;"")*(B$2:B$501=_xlfn.MAXIFS(B$2:B$501,C$2:C$501,C379,B$2:B$501,"&lt;"&amp;B379))*(I$2:I$501&lt;&gt;""),I$2:I$501),""))</f>
        <v/>
      </c>
    </row>
    <row r="380" spans="1:11">
      <c r="A380" t="s">
        <v>312</v>
      </c>
      <c r="B380" s="2">
        <v>46082</v>
      </c>
      <c r="C380" t="s">
        <v>26</v>
      </c>
      <c r="D380" t="s">
        <v>27</v>
      </c>
      <c r="E380" t="s">
        <v>28</v>
      </c>
      <c r="F380" s="3">
        <v>2500</v>
      </c>
      <c r="G380" s="3">
        <v>2512</v>
      </c>
      <c r="H380" s="3">
        <v>2472</v>
      </c>
      <c r="I380" s="3">
        <v>2468</v>
      </c>
      <c r="J380" s="3">
        <v>500000</v>
      </c>
      <c r="K380" s="7" cm="1">
        <f t="array" ref="K380">IF(OR(C380="",B380="",I380=""),"",IFERROR((I380-_xlfn.XLOOKUP(1,(C$2:C$501=C380)*(B$2:B$501&lt;&gt;"")*(B$2:B$501=_xlfn.MAXIFS(B$2:B$501,C$2:C$501,C380,B$2:B$501,"&lt;"&amp;B380))*(I$2:I$501&lt;&gt;""),I$2:I$501))/_xlfn.XLOOKUP(1,(C$2:C$501=C380)*(B$2:B$501&lt;&gt;"")*(B$2:B$501=_xlfn.MAXIFS(B$2:B$501,C$2:C$501,C380,B$2:B$501,"&lt;"&amp;B380))*(I$2:I$501&lt;&gt;""),I$2:I$501),""))</f>
        <v>-0.3008498583569405</v>
      </c>
    </row>
    <row r="381" spans="1:11">
      <c r="A381" t="s">
        <v>313</v>
      </c>
      <c r="B381" s="2">
        <v>46054</v>
      </c>
      <c r="C381" t="s">
        <v>26</v>
      </c>
      <c r="D381" t="s">
        <v>27</v>
      </c>
      <c r="E381" t="s">
        <v>28</v>
      </c>
      <c r="F381" s="3">
        <v>3500</v>
      </c>
      <c r="G381" s="3">
        <v>3561</v>
      </c>
      <c r="H381" s="3">
        <v>3471</v>
      </c>
      <c r="I381" s="3">
        <v>3512</v>
      </c>
      <c r="J381" s="3">
        <v>250000</v>
      </c>
      <c r="K381" s="7" cm="1">
        <f t="array" ref="K381">IF(OR(C381="",B381="",I381=""),"",IFERROR((I381-_xlfn.XLOOKUP(1,(C$2:C$501=C381)*(B$2:B$501&lt;&gt;"")*(B$2:B$501=_xlfn.MAXIFS(B$2:B$501,C$2:C$501,C381,B$2:B$501,"&lt;"&amp;B381))*(I$2:I$501&lt;&gt;""),I$2:I$501))/_xlfn.XLOOKUP(1,(C$2:C$501=C381)*(B$2:B$501&lt;&gt;"")*(B$2:B$501=_xlfn.MAXIFS(B$2:B$501,C$2:C$501,C381,B$2:B$501,"&lt;"&amp;B381))*(I$2:I$501&lt;&gt;""),I$2:I$501),""))</f>
        <v>0.38869118228548832</v>
      </c>
    </row>
    <row r="382" spans="1:11">
      <c r="A382" t="s">
        <v>313</v>
      </c>
      <c r="B382" s="2">
        <v>46082</v>
      </c>
      <c r="C382" t="s">
        <v>26</v>
      </c>
      <c r="D382" t="s">
        <v>27</v>
      </c>
      <c r="E382" t="s">
        <v>28</v>
      </c>
      <c r="F382" s="3">
        <v>1000</v>
      </c>
      <c r="G382" s="3">
        <v>1014</v>
      </c>
      <c r="H382" s="3">
        <v>956</v>
      </c>
      <c r="I382" s="3">
        <v>962</v>
      </c>
      <c r="J382" s="3">
        <v>500000</v>
      </c>
      <c r="K382" s="7" cm="1">
        <f t="array" ref="K382">IF(OR(C382="",B382="",I382=""),"",IFERROR((I382-_xlfn.XLOOKUP(1,(C$2:C$501=C382)*(B$2:B$501&lt;&gt;"")*(B$2:B$501=_xlfn.MAXIFS(B$2:B$501,C$2:C$501,C382,B$2:B$501,"&lt;"&amp;B382))*(I$2:I$501&lt;&gt;""),I$2:I$501))/_xlfn.XLOOKUP(1,(C$2:C$501=C382)*(B$2:B$501&lt;&gt;"")*(B$2:B$501=_xlfn.MAXIFS(B$2:B$501,C$2:C$501,C382,B$2:B$501,"&lt;"&amp;B382))*(I$2:I$501&lt;&gt;""),I$2:I$501),""))</f>
        <v>-0.72747875354107649</v>
      </c>
    </row>
    <row r="383" spans="1:11">
      <c r="A383" t="s">
        <v>314</v>
      </c>
      <c r="B383" s="2">
        <v>46054</v>
      </c>
      <c r="C383" t="s">
        <v>12</v>
      </c>
      <c r="D383" t="s">
        <v>13</v>
      </c>
      <c r="E383" t="s">
        <v>37</v>
      </c>
      <c r="F383" s="3">
        <v>1000</v>
      </c>
      <c r="G383" s="3">
        <v>1040</v>
      </c>
      <c r="H383" s="3">
        <v>989</v>
      </c>
      <c r="I383" s="3">
        <v>979</v>
      </c>
      <c r="J383" s="3">
        <v>250000</v>
      </c>
      <c r="K383" s="7" cm="1">
        <f t="array" ref="K383">IF(OR(C383="",B383="",I383=""),"",IFERROR((I383-_xlfn.XLOOKUP(1,(C$2:C$501=C383)*(B$2:B$501&lt;&gt;"")*(B$2:B$501=_xlfn.MAXIFS(B$2:B$501,C$2:C$501,C383,B$2:B$501,"&lt;"&amp;B383))*(I$2:I$501&lt;&gt;""),I$2:I$501))/_xlfn.XLOOKUP(1,(C$2:C$501=C383)*(B$2:B$501&lt;&gt;"")*(B$2:B$501=_xlfn.MAXIFS(B$2:B$501,C$2:C$501,C383,B$2:B$501,"&lt;"&amp;B383))*(I$2:I$501&lt;&gt;""),I$2:I$501),""))</f>
        <v>-0.60412454508693891</v>
      </c>
    </row>
    <row r="384" spans="1:11">
      <c r="A384" t="s">
        <v>314</v>
      </c>
      <c r="B384" s="2">
        <v>46054</v>
      </c>
      <c r="C384" t="s">
        <v>43</v>
      </c>
      <c r="D384" t="s">
        <v>44</v>
      </c>
      <c r="E384" t="s">
        <v>23</v>
      </c>
      <c r="F384" s="3">
        <v>2500</v>
      </c>
      <c r="G384" s="3">
        <v>2537</v>
      </c>
      <c r="H384" s="3">
        <v>2474</v>
      </c>
      <c r="I384" s="3">
        <v>2532</v>
      </c>
      <c r="J384" s="3">
        <v>500000</v>
      </c>
      <c r="K384" s="7" cm="1">
        <f t="array" ref="K384">IF(OR(C384="",B384="",I384=""),"",IFERROR((I384-_xlfn.XLOOKUP(1,(C$2:C$501=C384)*(B$2:B$501&lt;&gt;"")*(B$2:B$501=_xlfn.MAXIFS(B$2:B$501,C$2:C$501,C384,B$2:B$501,"&lt;"&amp;B384))*(I$2:I$501&lt;&gt;""),I$2:I$501))/_xlfn.XLOOKUP(1,(C$2:C$501=C384)*(B$2:B$501&lt;&gt;"")*(B$2:B$501=_xlfn.MAXIFS(B$2:B$501,C$2:C$501,C384,B$2:B$501,"&lt;"&amp;B384))*(I$2:I$501&lt;&gt;""),I$2:I$501),""))</f>
        <v>1.8913480885311872E-2</v>
      </c>
    </row>
    <row r="385" spans="1:11">
      <c r="A385" t="s">
        <v>315</v>
      </c>
      <c r="C385" t="s">
        <v>16</v>
      </c>
      <c r="D385" t="s">
        <v>17</v>
      </c>
      <c r="E385" t="s">
        <v>18</v>
      </c>
      <c r="F385" s="3">
        <v>2500</v>
      </c>
      <c r="G385" s="3">
        <v>2545</v>
      </c>
      <c r="H385" s="3">
        <v>2420</v>
      </c>
      <c r="I385" s="3">
        <v>2522</v>
      </c>
      <c r="J385" s="3">
        <v>100000</v>
      </c>
      <c r="K385" s="7" t="str" cm="1">
        <f t="array" ref="K385">IF(OR(C385="",B385="",I385=""),"",IFERROR((I385-_xlfn.XLOOKUP(1,(C$2:C$501=C385)*(B$2:B$501&lt;&gt;"")*(B$2:B$501=_xlfn.MAXIFS(B$2:B$501,C$2:C$501,C385,B$2:B$501,"&lt;"&amp;B385))*(I$2:I$501&lt;&gt;""),I$2:I$501))/_xlfn.XLOOKUP(1,(C$2:C$501=C385)*(B$2:B$501&lt;&gt;"")*(B$2:B$501=_xlfn.MAXIFS(B$2:B$501,C$2:C$501,C385,B$2:B$501,"&lt;"&amp;B385))*(I$2:I$501&lt;&gt;""),I$2:I$501),""))</f>
        <v/>
      </c>
    </row>
    <row r="386" spans="1:11">
      <c r="A386" t="s">
        <v>316</v>
      </c>
      <c r="C386" t="s">
        <v>16</v>
      </c>
      <c r="D386" t="s">
        <v>17</v>
      </c>
      <c r="E386" t="s">
        <v>18</v>
      </c>
      <c r="F386" s="3"/>
      <c r="G386" s="3"/>
      <c r="H386" s="3"/>
      <c r="I386" s="3"/>
      <c r="J386" s="3">
        <v>500000</v>
      </c>
      <c r="K386" s="7" t="str" cm="1">
        <f t="array" ref="K386">IF(OR(C386="",B386="",I386=""),"",IFERROR((I386-_xlfn.XLOOKUP(1,(C$2:C$501=C386)*(B$2:B$501&lt;&gt;"")*(B$2:B$501=_xlfn.MAXIFS(B$2:B$501,C$2:C$501,C386,B$2:B$501,"&lt;"&amp;B386))*(I$2:I$501&lt;&gt;""),I$2:I$501))/_xlfn.XLOOKUP(1,(C$2:C$501=C386)*(B$2:B$501&lt;&gt;"")*(B$2:B$501=_xlfn.MAXIFS(B$2:B$501,C$2:C$501,C386,B$2:B$501,"&lt;"&amp;B386))*(I$2:I$501&lt;&gt;""),I$2:I$501),""))</f>
        <v/>
      </c>
    </row>
    <row r="387" spans="1:11">
      <c r="A387" t="s">
        <v>317</v>
      </c>
      <c r="B387" s="2">
        <v>46082</v>
      </c>
      <c r="C387" t="s">
        <v>26</v>
      </c>
      <c r="D387" t="s">
        <v>27</v>
      </c>
      <c r="E387" t="s">
        <v>28</v>
      </c>
      <c r="F387" s="3">
        <v>3500</v>
      </c>
      <c r="G387" s="3">
        <v>3568</v>
      </c>
      <c r="H387" s="3">
        <v>3449</v>
      </c>
      <c r="I387" s="3">
        <v>3549</v>
      </c>
      <c r="J387" s="3">
        <v>250000</v>
      </c>
      <c r="K387" s="7" cm="1">
        <f t="array" ref="K387">IF(OR(C387="",B387="",I387=""),"",IFERROR((I387-_xlfn.XLOOKUP(1,(C$2:C$501=C387)*(B$2:B$501&lt;&gt;"")*(B$2:B$501=_xlfn.MAXIFS(B$2:B$501,C$2:C$501,C387,B$2:B$501,"&lt;"&amp;B387))*(I$2:I$501&lt;&gt;""),I$2:I$501))/_xlfn.XLOOKUP(1,(C$2:C$501=C387)*(B$2:B$501&lt;&gt;"")*(B$2:B$501=_xlfn.MAXIFS(B$2:B$501,C$2:C$501,C387,B$2:B$501,"&lt;"&amp;B387))*(I$2:I$501&lt;&gt;""),I$2:I$501),""))</f>
        <v>5.3824362606232296E-3</v>
      </c>
    </row>
    <row r="388" spans="1:11">
      <c r="A388" t="s">
        <v>317</v>
      </c>
      <c r="C388" t="s">
        <v>16</v>
      </c>
      <c r="D388" t="s">
        <v>17</v>
      </c>
      <c r="E388" t="s">
        <v>18</v>
      </c>
      <c r="F388" s="3">
        <v>3500</v>
      </c>
      <c r="G388" s="3">
        <v>3599</v>
      </c>
      <c r="H388" s="3">
        <v>3420</v>
      </c>
      <c r="I388" s="3">
        <v>3458</v>
      </c>
      <c r="J388" s="3">
        <v>500000</v>
      </c>
      <c r="K388" s="7" t="str" cm="1">
        <f t="array" ref="K388">IF(OR(C388="",B388="",I388=""),"",IFERROR((I388-_xlfn.XLOOKUP(1,(C$2:C$501=C388)*(B$2:B$501&lt;&gt;"")*(B$2:B$501=_xlfn.MAXIFS(B$2:B$501,C$2:C$501,C388,B$2:B$501,"&lt;"&amp;B388))*(I$2:I$501&lt;&gt;""),I$2:I$501))/_xlfn.XLOOKUP(1,(C$2:C$501=C388)*(B$2:B$501&lt;&gt;"")*(B$2:B$501=_xlfn.MAXIFS(B$2:B$501,C$2:C$501,C388,B$2:B$501,"&lt;"&amp;B388))*(I$2:I$501&lt;&gt;""),I$2:I$501),""))</f>
        <v/>
      </c>
    </row>
    <row r="389" spans="1:11">
      <c r="A389" t="s">
        <v>318</v>
      </c>
      <c r="B389" s="2">
        <v>46054</v>
      </c>
      <c r="C389" t="s">
        <v>16</v>
      </c>
      <c r="D389" t="s">
        <v>17</v>
      </c>
      <c r="E389" t="s">
        <v>18</v>
      </c>
      <c r="F389" s="3"/>
      <c r="G389" s="3"/>
      <c r="H389" s="3"/>
      <c r="I389" s="3"/>
      <c r="J389" s="3">
        <v>500000</v>
      </c>
      <c r="K389" s="7" t="str" cm="1">
        <f t="array" ref="K389">IF(OR(C389="",B389="",I389=""),"",IFERROR((I389-_xlfn.XLOOKUP(1,(C$2:C$501=C389)*(B$2:B$501&lt;&gt;"")*(B$2:B$501=_xlfn.MAXIFS(B$2:B$501,C$2:C$501,C389,B$2:B$501,"&lt;"&amp;B389))*(I$2:I$501&lt;&gt;""),I$2:I$501))/_xlfn.XLOOKUP(1,(C$2:C$501=C389)*(B$2:B$501&lt;&gt;"")*(B$2:B$501=_xlfn.MAXIFS(B$2:B$501,C$2:C$501,C389,B$2:B$501,"&lt;"&amp;B389))*(I$2:I$501&lt;&gt;""),I$2:I$501),""))</f>
        <v/>
      </c>
    </row>
    <row r="390" spans="1:11">
      <c r="A390" t="s">
        <v>319</v>
      </c>
      <c r="B390" s="2">
        <v>46082</v>
      </c>
      <c r="C390" t="s">
        <v>26</v>
      </c>
      <c r="D390" t="s">
        <v>27</v>
      </c>
      <c r="E390" t="s">
        <v>28</v>
      </c>
      <c r="F390" s="3">
        <v>1000</v>
      </c>
      <c r="G390" s="3">
        <v>1094</v>
      </c>
      <c r="H390" s="3">
        <v>944</v>
      </c>
      <c r="I390" s="3">
        <v>985</v>
      </c>
      <c r="J390" s="3">
        <v>500000</v>
      </c>
      <c r="K390" s="7" cm="1">
        <f t="array" ref="K390">IF(OR(C390="",B390="",I390=""),"",IFERROR((I390-_xlfn.XLOOKUP(1,(C$2:C$501=C390)*(B$2:B$501&lt;&gt;"")*(B$2:B$501=_xlfn.MAXIFS(B$2:B$501,C$2:C$501,C390,B$2:B$501,"&lt;"&amp;B390))*(I$2:I$501&lt;&gt;""),I$2:I$501))/_xlfn.XLOOKUP(1,(C$2:C$501=C390)*(B$2:B$501&lt;&gt;"")*(B$2:B$501=_xlfn.MAXIFS(B$2:B$501,C$2:C$501,C390,B$2:B$501,"&lt;"&amp;B390))*(I$2:I$501&lt;&gt;""),I$2:I$501),""))</f>
        <v>-0.72096317280453259</v>
      </c>
    </row>
    <row r="391" spans="1:11">
      <c r="A391" t="s">
        <v>320</v>
      </c>
      <c r="B391" s="2">
        <v>46023</v>
      </c>
      <c r="C391" t="s">
        <v>22</v>
      </c>
      <c r="D391" t="s">
        <v>22</v>
      </c>
      <c r="E391" t="s">
        <v>23</v>
      </c>
      <c r="F391" s="3"/>
      <c r="G391" s="3"/>
      <c r="H391" s="3"/>
      <c r="I391" s="3"/>
      <c r="J391" s="3">
        <v>100000</v>
      </c>
      <c r="K391" s="7" t="str" cm="1">
        <f t="array" ref="K391">IF(OR(C391="",B391="",I391=""),"",IFERROR((I391-_xlfn.XLOOKUP(1,(C$2:C$501=C391)*(B$2:B$501&lt;&gt;"")*(B$2:B$501=_xlfn.MAXIFS(B$2:B$501,C$2:C$501,C391,B$2:B$501,"&lt;"&amp;B391))*(I$2:I$501&lt;&gt;""),I$2:I$501))/_xlfn.XLOOKUP(1,(C$2:C$501=C391)*(B$2:B$501&lt;&gt;"")*(B$2:B$501=_xlfn.MAXIFS(B$2:B$501,C$2:C$501,C391,B$2:B$501,"&lt;"&amp;B391))*(I$2:I$501&lt;&gt;""),I$2:I$501),""))</f>
        <v/>
      </c>
    </row>
    <row r="392" spans="1:11">
      <c r="A392" t="s">
        <v>321</v>
      </c>
      <c r="B392" s="2">
        <v>46054</v>
      </c>
      <c r="C392" t="s">
        <v>43</v>
      </c>
      <c r="D392" t="s">
        <v>44</v>
      </c>
      <c r="E392" t="s">
        <v>23</v>
      </c>
      <c r="F392" s="3">
        <v>1000</v>
      </c>
      <c r="G392" s="3">
        <v>1069</v>
      </c>
      <c r="H392" s="3">
        <v>982</v>
      </c>
      <c r="I392" s="3">
        <v>976</v>
      </c>
      <c r="J392" s="3">
        <v>100000</v>
      </c>
      <c r="K392" s="7" cm="1">
        <f t="array" ref="K392">IF(OR(C392="",B392="",I392=""),"",IFERROR((I392-_xlfn.XLOOKUP(1,(C$2:C$501=C392)*(B$2:B$501&lt;&gt;"")*(B$2:B$501=_xlfn.MAXIFS(B$2:B$501,C$2:C$501,C392,B$2:B$501,"&lt;"&amp;B392))*(I$2:I$501&lt;&gt;""),I$2:I$501))/_xlfn.XLOOKUP(1,(C$2:C$501=C392)*(B$2:B$501&lt;&gt;"")*(B$2:B$501=_xlfn.MAXIFS(B$2:B$501,C$2:C$501,C392,B$2:B$501,"&lt;"&amp;B392))*(I$2:I$501&lt;&gt;""),I$2:I$501),""))</f>
        <v>-0.60724346076458757</v>
      </c>
    </row>
    <row r="393" spans="1:11">
      <c r="A393" t="s">
        <v>321</v>
      </c>
      <c r="B393" s="2">
        <v>46023</v>
      </c>
      <c r="C393" t="s">
        <v>12</v>
      </c>
      <c r="D393" t="s">
        <v>13</v>
      </c>
      <c r="E393" t="s">
        <v>37</v>
      </c>
      <c r="F393" s="3">
        <v>2500</v>
      </c>
      <c r="G393" s="3">
        <v>2535</v>
      </c>
      <c r="H393" s="3">
        <v>2481</v>
      </c>
      <c r="I393" s="3">
        <v>2515</v>
      </c>
      <c r="J393" s="3">
        <v>100000</v>
      </c>
      <c r="K393" s="7" t="str" cm="1">
        <f t="array" ref="K393">IF(OR(C393="",B393="",I393=""),"",IFERROR((I393-_xlfn.XLOOKUP(1,(C$2:C$501=C393)*(B$2:B$501&lt;&gt;"")*(B$2:B$501=_xlfn.MAXIFS(B$2:B$501,C$2:C$501,C393,B$2:B$501,"&lt;"&amp;B393))*(I$2:I$501&lt;&gt;""),I$2:I$501))/_xlfn.XLOOKUP(1,(C$2:C$501=C393)*(B$2:B$501&lt;&gt;"")*(B$2:B$501=_xlfn.MAXIFS(B$2:B$501,C$2:C$501,C393,B$2:B$501,"&lt;"&amp;B393))*(I$2:I$501&lt;&gt;""),I$2:I$501),""))</f>
        <v/>
      </c>
    </row>
    <row r="394" spans="1:11">
      <c r="A394" t="s">
        <v>322</v>
      </c>
      <c r="B394" s="2">
        <v>46082</v>
      </c>
      <c r="C394" t="s">
        <v>26</v>
      </c>
      <c r="D394" t="s">
        <v>27</v>
      </c>
      <c r="E394" t="s">
        <v>28</v>
      </c>
      <c r="F394" s="3"/>
      <c r="G394" s="3"/>
      <c r="H394" s="3"/>
      <c r="I394" s="3"/>
      <c r="J394" s="3">
        <v>250000</v>
      </c>
      <c r="K394" s="7" t="str" cm="1">
        <f t="array" ref="K394">IF(OR(C394="",B394="",I394=""),"",IFERROR((I394-_xlfn.XLOOKUP(1,(C$2:C$501=C394)*(B$2:B$501&lt;&gt;"")*(B$2:B$501=_xlfn.MAXIFS(B$2:B$501,C$2:C$501,C394,B$2:B$501,"&lt;"&amp;B394))*(I$2:I$501&lt;&gt;""),I$2:I$501))/_xlfn.XLOOKUP(1,(C$2:C$501=C394)*(B$2:B$501&lt;&gt;"")*(B$2:B$501=_xlfn.MAXIFS(B$2:B$501,C$2:C$501,C394,B$2:B$501,"&lt;"&amp;B394))*(I$2:I$501&lt;&gt;""),I$2:I$501),""))</f>
        <v/>
      </c>
    </row>
    <row r="395" spans="1:11">
      <c r="A395" t="s">
        <v>323</v>
      </c>
      <c r="B395" s="2">
        <v>46054</v>
      </c>
      <c r="C395" t="s">
        <v>26</v>
      </c>
      <c r="D395" t="s">
        <v>27</v>
      </c>
      <c r="E395" t="s">
        <v>28</v>
      </c>
      <c r="F395" s="3">
        <v>2500</v>
      </c>
      <c r="G395" s="3">
        <v>2529</v>
      </c>
      <c r="H395" s="3">
        <v>2469</v>
      </c>
      <c r="I395" s="3">
        <v>2484</v>
      </c>
      <c r="J395" s="3">
        <v>250000</v>
      </c>
      <c r="K395" s="7" cm="1">
        <f t="array" ref="K395">IF(OR(C395="",B395="",I395=""),"",IFERROR((I395-_xlfn.XLOOKUP(1,(C$2:C$501=C395)*(B$2:B$501&lt;&gt;"")*(B$2:B$501=_xlfn.MAXIFS(B$2:B$501,C$2:C$501,C395,B$2:B$501,"&lt;"&amp;B395))*(I$2:I$501&lt;&gt;""),I$2:I$501))/_xlfn.XLOOKUP(1,(C$2:C$501=C395)*(B$2:B$501&lt;&gt;"")*(B$2:B$501=_xlfn.MAXIFS(B$2:B$501,C$2:C$501,C395,B$2:B$501,"&lt;"&amp;B395))*(I$2:I$501&lt;&gt;""),I$2:I$501),""))</f>
        <v>-1.7793594306049824E-2</v>
      </c>
    </row>
    <row r="396" spans="1:11">
      <c r="A396" t="s">
        <v>324</v>
      </c>
      <c r="B396" s="2">
        <v>46082</v>
      </c>
      <c r="C396" t="s">
        <v>16</v>
      </c>
      <c r="D396" t="s">
        <v>17</v>
      </c>
      <c r="E396" t="s">
        <v>18</v>
      </c>
      <c r="F396" s="3">
        <v>3500</v>
      </c>
      <c r="G396" s="3">
        <v>3596</v>
      </c>
      <c r="H396" s="3">
        <v>3432</v>
      </c>
      <c r="I396" s="3">
        <v>3496</v>
      </c>
      <c r="J396" s="3">
        <v>100000</v>
      </c>
      <c r="K396" s="7" cm="1">
        <f t="array" ref="K396">IF(OR(C396="",B396="",I396=""),"",IFERROR((I396-_xlfn.XLOOKUP(1,(C$2:C$501=C396)*(B$2:B$501&lt;&gt;"")*(B$2:B$501=_xlfn.MAXIFS(B$2:B$501,C$2:C$501,C396,B$2:B$501,"&lt;"&amp;B396))*(I$2:I$501&lt;&gt;""),I$2:I$501))/_xlfn.XLOOKUP(1,(C$2:C$501=C396)*(B$2:B$501&lt;&gt;"")*(B$2:B$501=_xlfn.MAXIFS(B$2:B$501,C$2:C$501,C396,B$2:B$501,"&lt;"&amp;B396))*(I$2:I$501&lt;&gt;""),I$2:I$501),""))</f>
        <v>7.2025352924229326E-3</v>
      </c>
    </row>
    <row r="397" spans="1:11">
      <c r="A397" t="s">
        <v>325</v>
      </c>
      <c r="B397" s="2">
        <v>46082</v>
      </c>
      <c r="C397" t="s">
        <v>43</v>
      </c>
      <c r="D397" t="s">
        <v>44</v>
      </c>
      <c r="E397" t="s">
        <v>23</v>
      </c>
      <c r="F397" s="3">
        <v>2500</v>
      </c>
      <c r="G397" s="3">
        <v>2540</v>
      </c>
      <c r="H397" s="3">
        <v>2433</v>
      </c>
      <c r="I397" s="3">
        <v>2456</v>
      </c>
      <c r="J397" s="3">
        <v>250000</v>
      </c>
      <c r="K397" s="7" cm="1">
        <f t="array" ref="K397">IF(OR(C397="",B397="",I397=""),"",IFERROR((I397-_xlfn.XLOOKUP(1,(C$2:C$501=C397)*(B$2:B$501&lt;&gt;"")*(B$2:B$501=_xlfn.MAXIFS(B$2:B$501,C$2:C$501,C397,B$2:B$501,"&lt;"&amp;B397))*(I$2:I$501&lt;&gt;""),I$2:I$501))/_xlfn.XLOOKUP(1,(C$2:C$501=C397)*(B$2:B$501&lt;&gt;"")*(B$2:B$501=_xlfn.MAXIFS(B$2:B$501,C$2:C$501,C397,B$2:B$501,"&lt;"&amp;B397))*(I$2:I$501&lt;&gt;""),I$2:I$501),""))</f>
        <v>1.3615384615384616</v>
      </c>
    </row>
    <row r="398" spans="1:11">
      <c r="A398" t="s">
        <v>326</v>
      </c>
      <c r="B398" s="2">
        <v>46023</v>
      </c>
      <c r="C398" t="s">
        <v>26</v>
      </c>
      <c r="D398" t="s">
        <v>27</v>
      </c>
      <c r="E398" t="s">
        <v>28</v>
      </c>
      <c r="F398" s="3"/>
      <c r="G398" s="3"/>
      <c r="H398" s="3"/>
      <c r="I398" s="3"/>
      <c r="J398" s="3"/>
      <c r="K398" s="7" t="str" cm="1">
        <f t="array" ref="K398">IF(OR(C398="",B398="",I398=""),"",IFERROR((I398-_xlfn.XLOOKUP(1,(C$2:C$501=C398)*(B$2:B$501&lt;&gt;"")*(B$2:B$501=_xlfn.MAXIFS(B$2:B$501,C$2:C$501,C398,B$2:B$501,"&lt;"&amp;B398))*(I$2:I$501&lt;&gt;""),I$2:I$501))/_xlfn.XLOOKUP(1,(C$2:C$501=C398)*(B$2:B$501&lt;&gt;"")*(B$2:B$501=_xlfn.MAXIFS(B$2:B$501,C$2:C$501,C398,B$2:B$501,"&lt;"&amp;B398))*(I$2:I$501&lt;&gt;""),I$2:I$501),""))</f>
        <v/>
      </c>
    </row>
    <row r="399" spans="1:11">
      <c r="A399" t="s">
        <v>327</v>
      </c>
      <c r="B399" s="2">
        <v>46082</v>
      </c>
      <c r="C399" t="s">
        <v>16</v>
      </c>
      <c r="D399" t="s">
        <v>17</v>
      </c>
      <c r="E399" t="s">
        <v>18</v>
      </c>
      <c r="F399" s="3"/>
      <c r="G399" s="3"/>
      <c r="H399" s="3"/>
      <c r="I399" s="3"/>
      <c r="J399" s="3">
        <v>500000</v>
      </c>
      <c r="K399" s="7" t="str" cm="1">
        <f t="array" ref="K399">IF(OR(C399="",B399="",I399=""),"",IFERROR((I399-_xlfn.XLOOKUP(1,(C$2:C$501=C399)*(B$2:B$501&lt;&gt;"")*(B$2:B$501=_xlfn.MAXIFS(B$2:B$501,C$2:C$501,C399,B$2:B$501,"&lt;"&amp;B399))*(I$2:I$501&lt;&gt;""),I$2:I$501))/_xlfn.XLOOKUP(1,(C$2:C$501=C399)*(B$2:B$501&lt;&gt;"")*(B$2:B$501=_xlfn.MAXIFS(B$2:B$501,C$2:C$501,C399,B$2:B$501,"&lt;"&amp;B399))*(I$2:I$501&lt;&gt;""),I$2:I$501),""))</f>
        <v/>
      </c>
    </row>
    <row r="400" spans="1:11">
      <c r="A400" t="s">
        <v>328</v>
      </c>
      <c r="C400" t="s">
        <v>16</v>
      </c>
      <c r="D400" t="s">
        <v>17</v>
      </c>
      <c r="E400" t="s">
        <v>18</v>
      </c>
      <c r="F400" s="3">
        <v>3500</v>
      </c>
      <c r="G400" s="3">
        <v>3543</v>
      </c>
      <c r="H400" s="3">
        <v>3428</v>
      </c>
      <c r="I400" s="3">
        <v>3509</v>
      </c>
      <c r="J400" s="3">
        <v>100000</v>
      </c>
      <c r="K400" s="7" t="str" cm="1">
        <f t="array" ref="K400">IF(OR(C400="",B400="",I400=""),"",IFERROR((I400-_xlfn.XLOOKUP(1,(C$2:C$501=C400)*(B$2:B$501&lt;&gt;"")*(B$2:B$501=_xlfn.MAXIFS(B$2:B$501,C$2:C$501,C400,B$2:B$501,"&lt;"&amp;B400))*(I$2:I$501&lt;&gt;""),I$2:I$501))/_xlfn.XLOOKUP(1,(C$2:C$501=C400)*(B$2:B$501&lt;&gt;"")*(B$2:B$501=_xlfn.MAXIFS(B$2:B$501,C$2:C$501,C400,B$2:B$501,"&lt;"&amp;B400))*(I$2:I$501&lt;&gt;""),I$2:I$501),""))</f>
        <v/>
      </c>
    </row>
    <row r="401" spans="1:11">
      <c r="A401" t="s">
        <v>329</v>
      </c>
      <c r="B401" s="2">
        <v>46082</v>
      </c>
      <c r="C401" t="s">
        <v>12</v>
      </c>
      <c r="D401" t="s">
        <v>13</v>
      </c>
      <c r="E401" t="s">
        <v>37</v>
      </c>
      <c r="F401" s="3">
        <v>1000</v>
      </c>
      <c r="G401" s="3">
        <v>1078</v>
      </c>
      <c r="H401" s="3">
        <v>954</v>
      </c>
      <c r="I401" s="3">
        <v>964</v>
      </c>
      <c r="J401" s="3">
        <v>250000</v>
      </c>
      <c r="K401" s="7" cm="1">
        <f t="array" ref="K401">IF(OR(C401="",B401="",I401=""),"",IFERROR((I401-_xlfn.XLOOKUP(1,(C$2:C$501=C401)*(B$2:B$501&lt;&gt;"")*(B$2:B$501=_xlfn.MAXIFS(B$2:B$501,C$2:C$501,C401,B$2:B$501,"&lt;"&amp;B401))*(I$2:I$501&lt;&gt;""),I$2:I$501))/_xlfn.XLOOKUP(1,(C$2:C$501=C401)*(B$2:B$501&lt;&gt;"")*(B$2:B$501=_xlfn.MAXIFS(B$2:B$501,C$2:C$501,C401,B$2:B$501,"&lt;"&amp;B401))*(I$2:I$501&lt;&gt;""),I$2:I$501),""))</f>
        <v>-0.60987454471873737</v>
      </c>
    </row>
    <row r="402" spans="1:11">
      <c r="A402" t="s">
        <v>329</v>
      </c>
      <c r="C402" t="s">
        <v>43</v>
      </c>
      <c r="D402" t="s">
        <v>44</v>
      </c>
      <c r="E402" t="s">
        <v>23</v>
      </c>
      <c r="F402" s="3">
        <v>1000</v>
      </c>
      <c r="G402" s="3">
        <v>1072</v>
      </c>
      <c r="H402" s="3">
        <v>956</v>
      </c>
      <c r="I402" s="3">
        <v>975</v>
      </c>
      <c r="J402" s="3">
        <v>100000</v>
      </c>
      <c r="K402" s="7" t="str" cm="1">
        <f t="array" ref="K402">IF(OR(C402="",B402="",I402=""),"",IFERROR((I402-_xlfn.XLOOKUP(1,(C$2:C$501=C402)*(B$2:B$501&lt;&gt;"")*(B$2:B$501=_xlfn.MAXIFS(B$2:B$501,C$2:C$501,C402,B$2:B$501,"&lt;"&amp;B402))*(I$2:I$501&lt;&gt;""),I$2:I$501))/_xlfn.XLOOKUP(1,(C$2:C$501=C402)*(B$2:B$501&lt;&gt;"")*(B$2:B$501=_xlfn.MAXIFS(B$2:B$501,C$2:C$501,C402,B$2:B$501,"&lt;"&amp;B402))*(I$2:I$501&lt;&gt;""),I$2:I$501),""))</f>
        <v/>
      </c>
    </row>
    <row r="403" spans="1:11">
      <c r="A403" t="s">
        <v>330</v>
      </c>
      <c r="B403" s="2">
        <v>46054</v>
      </c>
      <c r="C403" t="s">
        <v>26</v>
      </c>
      <c r="D403" t="s">
        <v>27</v>
      </c>
      <c r="E403" t="s">
        <v>28</v>
      </c>
      <c r="F403" s="3"/>
      <c r="G403" s="3"/>
      <c r="H403" s="3"/>
      <c r="I403" s="3"/>
      <c r="J403" s="3">
        <v>500000</v>
      </c>
      <c r="K403" s="7" t="str" cm="1">
        <f t="array" ref="K403">IF(OR(C403="",B403="",I403=""),"",IFERROR((I403-_xlfn.XLOOKUP(1,(C$2:C$501=C403)*(B$2:B$501&lt;&gt;"")*(B$2:B$501=_xlfn.MAXIFS(B$2:B$501,C$2:C$501,C403,B$2:B$501,"&lt;"&amp;B403))*(I$2:I$501&lt;&gt;""),I$2:I$501))/_xlfn.XLOOKUP(1,(C$2:C$501=C403)*(B$2:B$501&lt;&gt;"")*(B$2:B$501=_xlfn.MAXIFS(B$2:B$501,C$2:C$501,C403,B$2:B$501,"&lt;"&amp;B403))*(I$2:I$501&lt;&gt;""),I$2:I$501),""))</f>
        <v/>
      </c>
    </row>
    <row r="404" spans="1:11">
      <c r="A404" t="s">
        <v>331</v>
      </c>
      <c r="C404" t="s">
        <v>12</v>
      </c>
      <c r="D404" t="s">
        <v>13</v>
      </c>
      <c r="E404" t="s">
        <v>37</v>
      </c>
      <c r="F404" s="3">
        <v>1000</v>
      </c>
      <c r="G404" s="3">
        <v>1027</v>
      </c>
      <c r="H404" s="3">
        <v>965</v>
      </c>
      <c r="I404" s="3">
        <v>1008</v>
      </c>
      <c r="J404" s="3">
        <v>500000</v>
      </c>
      <c r="K404" s="7" t="str" cm="1">
        <f t="array" ref="K404">IF(OR(C404="",B404="",I404=""),"",IFERROR((I404-_xlfn.XLOOKUP(1,(C$2:C$501=C404)*(B$2:B$501&lt;&gt;"")*(B$2:B$501=_xlfn.MAXIFS(B$2:B$501,C$2:C$501,C404,B$2:B$501,"&lt;"&amp;B404))*(I$2:I$501&lt;&gt;""),I$2:I$501))/_xlfn.XLOOKUP(1,(C$2:C$501=C404)*(B$2:B$501&lt;&gt;"")*(B$2:B$501=_xlfn.MAXIFS(B$2:B$501,C$2:C$501,C404,B$2:B$501,"&lt;"&amp;B404))*(I$2:I$501&lt;&gt;""),I$2:I$501),""))</f>
        <v/>
      </c>
    </row>
    <row r="405" spans="1:11">
      <c r="A405" t="s">
        <v>332</v>
      </c>
      <c r="B405" s="2">
        <v>46082</v>
      </c>
      <c r="C405" t="s">
        <v>16</v>
      </c>
      <c r="D405" t="s">
        <v>17</v>
      </c>
      <c r="E405" t="s">
        <v>18</v>
      </c>
      <c r="F405" s="3">
        <v>3500</v>
      </c>
      <c r="G405" s="3">
        <v>3572</v>
      </c>
      <c r="H405" s="3">
        <v>3466</v>
      </c>
      <c r="I405" s="3">
        <v>3477</v>
      </c>
      <c r="J405" s="3">
        <v>500000</v>
      </c>
      <c r="K405" s="7" cm="1">
        <f t="array" ref="K405">IF(OR(C405="",B405="",I405=""),"",IFERROR((I405-_xlfn.XLOOKUP(1,(C$2:C$501=C405)*(B$2:B$501&lt;&gt;"")*(B$2:B$501=_xlfn.MAXIFS(B$2:B$501,C$2:C$501,C405,B$2:B$501,"&lt;"&amp;B405))*(I$2:I$501&lt;&gt;""),I$2:I$501))/_xlfn.XLOOKUP(1,(C$2:C$501=C405)*(B$2:B$501&lt;&gt;"")*(B$2:B$501=_xlfn.MAXIFS(B$2:B$501,C$2:C$501,C405,B$2:B$501,"&lt;"&amp;B405))*(I$2:I$501&lt;&gt;""),I$2:I$501),""))</f>
        <v>1.7286084701815039E-3</v>
      </c>
    </row>
    <row r="406" spans="1:11">
      <c r="A406" t="s">
        <v>333</v>
      </c>
      <c r="C406" t="s">
        <v>26</v>
      </c>
      <c r="D406" t="s">
        <v>27</v>
      </c>
      <c r="E406" t="s">
        <v>28</v>
      </c>
      <c r="F406" s="3">
        <v>1000</v>
      </c>
      <c r="G406" s="3">
        <v>1078</v>
      </c>
      <c r="H406" s="3">
        <v>982</v>
      </c>
      <c r="I406" s="3">
        <v>1003</v>
      </c>
      <c r="J406" s="3">
        <v>500000</v>
      </c>
      <c r="K406" s="7" t="str" cm="1">
        <f t="array" ref="K406">IF(OR(C406="",B406="",I406=""),"",IFERROR((I406-_xlfn.XLOOKUP(1,(C$2:C$501=C406)*(B$2:B$501&lt;&gt;"")*(B$2:B$501=_xlfn.MAXIFS(B$2:B$501,C$2:C$501,C406,B$2:B$501,"&lt;"&amp;B406))*(I$2:I$501&lt;&gt;""),I$2:I$501))/_xlfn.XLOOKUP(1,(C$2:C$501=C406)*(B$2:B$501&lt;&gt;"")*(B$2:B$501=_xlfn.MAXIFS(B$2:B$501,C$2:C$501,C406,B$2:B$501,"&lt;"&amp;B406))*(I$2:I$501&lt;&gt;""),I$2:I$501),""))</f>
        <v/>
      </c>
    </row>
    <row r="407" spans="1:11">
      <c r="A407" t="s">
        <v>333</v>
      </c>
      <c r="B407" s="2">
        <v>46023</v>
      </c>
      <c r="C407" t="s">
        <v>22</v>
      </c>
      <c r="D407" t="s">
        <v>22</v>
      </c>
      <c r="E407" t="s">
        <v>23</v>
      </c>
      <c r="F407" s="3">
        <v>1000</v>
      </c>
      <c r="G407" s="3">
        <v>1096</v>
      </c>
      <c r="H407" s="3">
        <v>966</v>
      </c>
      <c r="I407" s="3">
        <v>1044</v>
      </c>
      <c r="J407" s="3">
        <v>500000</v>
      </c>
      <c r="K407" s="7" t="str" cm="1">
        <f t="array" ref="K407">IF(OR(C407="",B407="",I407=""),"",IFERROR((I407-_xlfn.XLOOKUP(1,(C$2:C$501=C407)*(B$2:B$501&lt;&gt;"")*(B$2:B$501=_xlfn.MAXIFS(B$2:B$501,C$2:C$501,C407,B$2:B$501,"&lt;"&amp;B407))*(I$2:I$501&lt;&gt;""),I$2:I$501))/_xlfn.XLOOKUP(1,(C$2:C$501=C407)*(B$2:B$501&lt;&gt;"")*(B$2:B$501=_xlfn.MAXIFS(B$2:B$501,C$2:C$501,C407,B$2:B$501,"&lt;"&amp;B407))*(I$2:I$501&lt;&gt;""),I$2:I$501),""))</f>
        <v/>
      </c>
    </row>
    <row r="408" spans="1:11">
      <c r="A408" t="s">
        <v>334</v>
      </c>
      <c r="C408" t="s">
        <v>12</v>
      </c>
      <c r="D408" t="s">
        <v>13</v>
      </c>
      <c r="E408" t="s">
        <v>37</v>
      </c>
      <c r="F408" s="3"/>
      <c r="G408" s="3"/>
      <c r="H408" s="3"/>
      <c r="I408" s="3"/>
      <c r="J408" s="3"/>
      <c r="K408" s="7" t="str" cm="1">
        <f t="array" ref="K408">IF(OR(C408="",B408="",I408=""),"",IFERROR((I408-_xlfn.XLOOKUP(1,(C$2:C$501=C408)*(B$2:B$501&lt;&gt;"")*(B$2:B$501=_xlfn.MAXIFS(B$2:B$501,C$2:C$501,C408,B$2:B$501,"&lt;"&amp;B408))*(I$2:I$501&lt;&gt;""),I$2:I$501))/_xlfn.XLOOKUP(1,(C$2:C$501=C408)*(B$2:B$501&lt;&gt;"")*(B$2:B$501=_xlfn.MAXIFS(B$2:B$501,C$2:C$501,C408,B$2:B$501,"&lt;"&amp;B408))*(I$2:I$501&lt;&gt;""),I$2:I$501),""))</f>
        <v/>
      </c>
    </row>
    <row r="409" spans="1:11">
      <c r="A409" t="s">
        <v>334</v>
      </c>
      <c r="B409" s="2">
        <v>46054</v>
      </c>
      <c r="C409" t="s">
        <v>43</v>
      </c>
      <c r="D409" t="s">
        <v>44</v>
      </c>
      <c r="E409" t="s">
        <v>23</v>
      </c>
      <c r="F409" s="3"/>
      <c r="G409" s="3"/>
      <c r="H409" s="3"/>
      <c r="I409" s="3"/>
      <c r="J409" s="3">
        <v>100000</v>
      </c>
      <c r="K409" s="7" t="str" cm="1">
        <f t="array" ref="K409">IF(OR(C409="",B409="",I409=""),"",IFERROR((I409-_xlfn.XLOOKUP(1,(C$2:C$501=C409)*(B$2:B$501&lt;&gt;"")*(B$2:B$501=_xlfn.MAXIFS(B$2:B$501,C$2:C$501,C409,B$2:B$501,"&lt;"&amp;B409))*(I$2:I$501&lt;&gt;""),I$2:I$501))/_xlfn.XLOOKUP(1,(C$2:C$501=C409)*(B$2:B$501&lt;&gt;"")*(B$2:B$501=_xlfn.MAXIFS(B$2:B$501,C$2:C$501,C409,B$2:B$501,"&lt;"&amp;B409))*(I$2:I$501&lt;&gt;""),I$2:I$501),""))</f>
        <v/>
      </c>
    </row>
    <row r="410" spans="1:11">
      <c r="A410" t="s">
        <v>335</v>
      </c>
      <c r="B410" s="2">
        <v>46054</v>
      </c>
      <c r="C410" t="s">
        <v>16</v>
      </c>
      <c r="D410" t="s">
        <v>17</v>
      </c>
      <c r="E410" t="s">
        <v>18</v>
      </c>
      <c r="F410" s="3">
        <v>3500</v>
      </c>
      <c r="G410" s="3">
        <v>3559</v>
      </c>
      <c r="H410" s="3">
        <v>3445</v>
      </c>
      <c r="I410" s="3">
        <v>3454</v>
      </c>
      <c r="J410" s="3">
        <v>100000</v>
      </c>
      <c r="K410" s="7" cm="1">
        <f t="array" ref="K410">IF(OR(C410="",B410="",I410=""),"",IFERROR((I410-_xlfn.XLOOKUP(1,(C$2:C$501=C410)*(B$2:B$501&lt;&gt;"")*(B$2:B$501=_xlfn.MAXIFS(B$2:B$501,C$2:C$501,C410,B$2:B$501,"&lt;"&amp;B410))*(I$2:I$501&lt;&gt;""),I$2:I$501))/_xlfn.XLOOKUP(1,(C$2:C$501=C410)*(B$2:B$501&lt;&gt;"")*(B$2:B$501=_xlfn.MAXIFS(B$2:B$501,C$2:C$501,C410,B$2:B$501,"&lt;"&amp;B410))*(I$2:I$501&lt;&gt;""),I$2:I$501),""))</f>
        <v>0.39330375151270675</v>
      </c>
    </row>
    <row r="411" spans="1:11">
      <c r="A411" t="s">
        <v>336</v>
      </c>
      <c r="C411" t="s">
        <v>26</v>
      </c>
      <c r="D411" t="s">
        <v>27</v>
      </c>
      <c r="E411" t="s">
        <v>28</v>
      </c>
      <c r="F411" s="3"/>
      <c r="G411" s="3"/>
      <c r="H411" s="3"/>
      <c r="I411" s="3"/>
      <c r="J411" s="3">
        <v>500000</v>
      </c>
      <c r="K411" s="7" t="str" cm="1">
        <f t="array" ref="K411">IF(OR(C411="",B411="",I411=""),"",IFERROR((I411-_xlfn.XLOOKUP(1,(C$2:C$501=C411)*(B$2:B$501&lt;&gt;"")*(B$2:B$501=_xlfn.MAXIFS(B$2:B$501,C$2:C$501,C411,B$2:B$501,"&lt;"&amp;B411))*(I$2:I$501&lt;&gt;""),I$2:I$501))/_xlfn.XLOOKUP(1,(C$2:C$501=C411)*(B$2:B$501&lt;&gt;"")*(B$2:B$501=_xlfn.MAXIFS(B$2:B$501,C$2:C$501,C411,B$2:B$501,"&lt;"&amp;B411))*(I$2:I$501&lt;&gt;""),I$2:I$501),""))</f>
        <v/>
      </c>
    </row>
    <row r="412" spans="1:11">
      <c r="A412" t="s">
        <v>337</v>
      </c>
      <c r="B412" s="2">
        <v>46054</v>
      </c>
      <c r="C412" t="s">
        <v>22</v>
      </c>
      <c r="D412" t="s">
        <v>22</v>
      </c>
      <c r="E412" t="s">
        <v>23</v>
      </c>
      <c r="F412" s="3"/>
      <c r="G412" s="3"/>
      <c r="H412" s="3"/>
      <c r="I412" s="3"/>
      <c r="J412" s="3">
        <v>100000</v>
      </c>
      <c r="K412" s="7" t="str" cm="1">
        <f t="array" ref="K412">IF(OR(C412="",B412="",I412=""),"",IFERROR((I412-_xlfn.XLOOKUP(1,(C$2:C$501=C412)*(B$2:B$501&lt;&gt;"")*(B$2:B$501=_xlfn.MAXIFS(B$2:B$501,C$2:C$501,C412,B$2:B$501,"&lt;"&amp;B412))*(I$2:I$501&lt;&gt;""),I$2:I$501))/_xlfn.XLOOKUP(1,(C$2:C$501=C412)*(B$2:B$501&lt;&gt;"")*(B$2:B$501=_xlfn.MAXIFS(B$2:B$501,C$2:C$501,C412,B$2:B$501,"&lt;"&amp;B412))*(I$2:I$501&lt;&gt;""),I$2:I$501),""))</f>
        <v/>
      </c>
    </row>
    <row r="413" spans="1:11">
      <c r="A413" t="s">
        <v>337</v>
      </c>
      <c r="B413" s="2">
        <v>46023</v>
      </c>
      <c r="C413" t="s">
        <v>12</v>
      </c>
      <c r="D413" t="s">
        <v>13</v>
      </c>
      <c r="E413" t="s">
        <v>37</v>
      </c>
      <c r="F413" s="3">
        <v>1000</v>
      </c>
      <c r="G413" s="3">
        <v>1082</v>
      </c>
      <c r="H413" s="3">
        <v>937</v>
      </c>
      <c r="I413" s="3">
        <v>965</v>
      </c>
      <c r="J413" s="3">
        <v>500000</v>
      </c>
      <c r="K413" s="7" t="str" cm="1">
        <f t="array" ref="K413">IF(OR(C413="",B413="",I413=""),"",IFERROR((I413-_xlfn.XLOOKUP(1,(C$2:C$501=C413)*(B$2:B$501&lt;&gt;"")*(B$2:B$501=_xlfn.MAXIFS(B$2:B$501,C$2:C$501,C413,B$2:B$501,"&lt;"&amp;B413))*(I$2:I$501&lt;&gt;""),I$2:I$501))/_xlfn.XLOOKUP(1,(C$2:C$501=C413)*(B$2:B$501&lt;&gt;"")*(B$2:B$501=_xlfn.MAXIFS(B$2:B$501,C$2:C$501,C413,B$2:B$501,"&lt;"&amp;B413))*(I$2:I$501&lt;&gt;""),I$2:I$501),""))</f>
        <v/>
      </c>
    </row>
    <row r="414" spans="1:11">
      <c r="A414" t="s">
        <v>338</v>
      </c>
      <c r="C414" t="s">
        <v>12</v>
      </c>
      <c r="D414" t="s">
        <v>13</v>
      </c>
      <c r="E414" t="s">
        <v>37</v>
      </c>
      <c r="F414" s="3">
        <v>1000</v>
      </c>
      <c r="G414" s="3">
        <v>1050</v>
      </c>
      <c r="H414" s="3">
        <v>924</v>
      </c>
      <c r="I414" s="3">
        <v>1011</v>
      </c>
      <c r="J414" s="3">
        <v>250000</v>
      </c>
      <c r="K414" s="7" t="str" cm="1">
        <f t="array" ref="K414">IF(OR(C414="",B414="",I414=""),"",IFERROR((I414-_xlfn.XLOOKUP(1,(C$2:C$501=C414)*(B$2:B$501&lt;&gt;"")*(B$2:B$501=_xlfn.MAXIFS(B$2:B$501,C$2:C$501,C414,B$2:B$501,"&lt;"&amp;B414))*(I$2:I$501&lt;&gt;""),I$2:I$501))/_xlfn.XLOOKUP(1,(C$2:C$501=C414)*(B$2:B$501&lt;&gt;"")*(B$2:B$501=_xlfn.MAXIFS(B$2:B$501,C$2:C$501,C414,B$2:B$501,"&lt;"&amp;B414))*(I$2:I$501&lt;&gt;""),I$2:I$501),""))</f>
        <v/>
      </c>
    </row>
    <row r="415" spans="1:11">
      <c r="A415" t="s">
        <v>339</v>
      </c>
      <c r="B415" s="2">
        <v>46082</v>
      </c>
      <c r="C415" t="s">
        <v>16</v>
      </c>
      <c r="D415" t="s">
        <v>17</v>
      </c>
      <c r="E415" t="s">
        <v>18</v>
      </c>
      <c r="F415" s="3"/>
      <c r="G415" s="3"/>
      <c r="H415" s="3"/>
      <c r="I415" s="3"/>
      <c r="J415" s="3">
        <v>100000</v>
      </c>
      <c r="K415" s="7" t="str" cm="1">
        <f t="array" ref="K415">IF(OR(C415="",B415="",I415=""),"",IFERROR((I415-_xlfn.XLOOKUP(1,(C$2:C$501=C415)*(B$2:B$501&lt;&gt;"")*(B$2:B$501=_xlfn.MAXIFS(B$2:B$501,C$2:C$501,C415,B$2:B$501,"&lt;"&amp;B415))*(I$2:I$501&lt;&gt;""),I$2:I$501))/_xlfn.XLOOKUP(1,(C$2:C$501=C415)*(B$2:B$501&lt;&gt;"")*(B$2:B$501=_xlfn.MAXIFS(B$2:B$501,C$2:C$501,C415,B$2:B$501,"&lt;"&amp;B415))*(I$2:I$501&lt;&gt;""),I$2:I$501),""))</f>
        <v/>
      </c>
    </row>
    <row r="416" spans="1:11">
      <c r="A416" t="s">
        <v>340</v>
      </c>
      <c r="B416" s="2">
        <v>46054</v>
      </c>
      <c r="C416" t="s">
        <v>12</v>
      </c>
      <c r="D416" t="s">
        <v>13</v>
      </c>
      <c r="E416" t="s">
        <v>37</v>
      </c>
      <c r="F416" s="3">
        <v>1000</v>
      </c>
      <c r="G416" s="3">
        <v>1081</v>
      </c>
      <c r="H416" s="3">
        <v>961</v>
      </c>
      <c r="I416" s="3">
        <v>983</v>
      </c>
      <c r="J416" s="3"/>
      <c r="K416" s="7" cm="1">
        <f t="array" ref="K416">IF(OR(C416="",B416="",I416=""),"",IFERROR((I416-_xlfn.XLOOKUP(1,(C$2:C$501=C416)*(B$2:B$501&lt;&gt;"")*(B$2:B$501=_xlfn.MAXIFS(B$2:B$501,C$2:C$501,C416,B$2:B$501,"&lt;"&amp;B416))*(I$2:I$501&lt;&gt;""),I$2:I$501))/_xlfn.XLOOKUP(1,(C$2:C$501=C416)*(B$2:B$501&lt;&gt;"")*(B$2:B$501=_xlfn.MAXIFS(B$2:B$501,C$2:C$501,C416,B$2:B$501,"&lt;"&amp;B416))*(I$2:I$501&lt;&gt;""),I$2:I$501),""))</f>
        <v>-0.60250707642539425</v>
      </c>
    </row>
    <row r="417" spans="1:11">
      <c r="A417" t="s">
        <v>340</v>
      </c>
      <c r="B417" s="2">
        <v>46023</v>
      </c>
      <c r="C417" t="s">
        <v>43</v>
      </c>
      <c r="D417" t="s">
        <v>44</v>
      </c>
      <c r="E417" t="s">
        <v>23</v>
      </c>
      <c r="F417" s="3">
        <v>2500</v>
      </c>
      <c r="G417" s="3">
        <v>2593</v>
      </c>
      <c r="H417" s="3">
        <v>2455</v>
      </c>
      <c r="I417" s="3">
        <v>2480</v>
      </c>
      <c r="J417" s="3">
        <v>500000</v>
      </c>
      <c r="K417" s="7" t="str" cm="1">
        <f t="array" ref="K417">IF(OR(C417="",B417="",I417=""),"",IFERROR((I417-_xlfn.XLOOKUP(1,(C$2:C$501=C417)*(B$2:B$501&lt;&gt;"")*(B$2:B$501=_xlfn.MAXIFS(B$2:B$501,C$2:C$501,C417,B$2:B$501,"&lt;"&amp;B417))*(I$2:I$501&lt;&gt;""),I$2:I$501))/_xlfn.XLOOKUP(1,(C$2:C$501=C417)*(B$2:B$501&lt;&gt;"")*(B$2:B$501=_xlfn.MAXIFS(B$2:B$501,C$2:C$501,C417,B$2:B$501,"&lt;"&amp;B417))*(I$2:I$501&lt;&gt;""),I$2:I$501),""))</f>
        <v/>
      </c>
    </row>
    <row r="418" spans="1:11">
      <c r="A418" t="s">
        <v>341</v>
      </c>
      <c r="B418" s="2">
        <v>46023</v>
      </c>
      <c r="C418" t="s">
        <v>43</v>
      </c>
      <c r="D418" t="s">
        <v>44</v>
      </c>
      <c r="E418" t="s">
        <v>23</v>
      </c>
      <c r="F418" s="3">
        <v>2500</v>
      </c>
      <c r="G418" s="3">
        <v>2586</v>
      </c>
      <c r="H418" s="3">
        <v>2421</v>
      </c>
      <c r="I418" s="3">
        <v>2538</v>
      </c>
      <c r="J418" s="3"/>
      <c r="K418" s="7" t="str" cm="1">
        <f t="array" ref="K418">IF(OR(C418="",B418="",I418=""),"",IFERROR((I418-_xlfn.XLOOKUP(1,(C$2:C$501=C418)*(B$2:B$501&lt;&gt;"")*(B$2:B$501=_xlfn.MAXIFS(B$2:B$501,C$2:C$501,C418,B$2:B$501,"&lt;"&amp;B418))*(I$2:I$501&lt;&gt;""),I$2:I$501))/_xlfn.XLOOKUP(1,(C$2:C$501=C418)*(B$2:B$501&lt;&gt;"")*(B$2:B$501=_xlfn.MAXIFS(B$2:B$501,C$2:C$501,C418,B$2:B$501,"&lt;"&amp;B418))*(I$2:I$501&lt;&gt;""),I$2:I$501),""))</f>
        <v/>
      </c>
    </row>
    <row r="419" spans="1:11">
      <c r="A419" t="s">
        <v>342</v>
      </c>
      <c r="B419" s="2">
        <v>46054</v>
      </c>
      <c r="C419" t="s">
        <v>12</v>
      </c>
      <c r="D419" t="s">
        <v>13</v>
      </c>
      <c r="E419" t="s">
        <v>37</v>
      </c>
      <c r="F419" s="3">
        <v>3500</v>
      </c>
      <c r="G419" s="3">
        <v>3594</v>
      </c>
      <c r="H419" s="3">
        <v>3471</v>
      </c>
      <c r="I419" s="3">
        <v>3471</v>
      </c>
      <c r="J419" s="3">
        <v>250000</v>
      </c>
      <c r="K419" s="7" cm="1">
        <f t="array" ref="K419">IF(OR(C419="",B419="",I419=""),"",IFERROR((I419-_xlfn.XLOOKUP(1,(C$2:C$501=C419)*(B$2:B$501&lt;&gt;"")*(B$2:B$501=_xlfn.MAXIFS(B$2:B$501,C$2:C$501,C419,B$2:B$501,"&lt;"&amp;B419))*(I$2:I$501&lt;&gt;""),I$2:I$501))/_xlfn.XLOOKUP(1,(C$2:C$501=C419)*(B$2:B$501&lt;&gt;"")*(B$2:B$501=_xlfn.MAXIFS(B$2:B$501,C$2:C$501,C419,B$2:B$501,"&lt;"&amp;B419))*(I$2:I$501&lt;&gt;""),I$2:I$501),""))</f>
        <v>0.40355843105539829</v>
      </c>
    </row>
    <row r="420" spans="1:11">
      <c r="A420" t="s">
        <v>343</v>
      </c>
      <c r="C420" t="s">
        <v>12</v>
      </c>
      <c r="D420" t="s">
        <v>13</v>
      </c>
      <c r="E420" t="s">
        <v>37</v>
      </c>
      <c r="F420" s="3">
        <v>1000</v>
      </c>
      <c r="G420" s="3">
        <v>1085</v>
      </c>
      <c r="H420" s="3">
        <v>970</v>
      </c>
      <c r="I420" s="3">
        <v>1006</v>
      </c>
      <c r="J420" s="3">
        <v>100000</v>
      </c>
      <c r="K420" s="7" t="str" cm="1">
        <f t="array" ref="K420">IF(OR(C420="",B420="",I420=""),"",IFERROR((I420-_xlfn.XLOOKUP(1,(C$2:C$501=C420)*(B$2:B$501&lt;&gt;"")*(B$2:B$501=_xlfn.MAXIFS(B$2:B$501,C$2:C$501,C420,B$2:B$501,"&lt;"&amp;B420))*(I$2:I$501&lt;&gt;""),I$2:I$501))/_xlfn.XLOOKUP(1,(C$2:C$501=C420)*(B$2:B$501&lt;&gt;"")*(B$2:B$501=_xlfn.MAXIFS(B$2:B$501,C$2:C$501,C420,B$2:B$501,"&lt;"&amp;B420))*(I$2:I$501&lt;&gt;""),I$2:I$501),""))</f>
        <v/>
      </c>
    </row>
    <row r="421" spans="1:11">
      <c r="A421" t="s">
        <v>343</v>
      </c>
      <c r="B421" s="2">
        <v>46054</v>
      </c>
      <c r="C421" t="s">
        <v>43</v>
      </c>
      <c r="D421" t="s">
        <v>44</v>
      </c>
      <c r="E421" t="s">
        <v>23</v>
      </c>
      <c r="F421" s="3"/>
      <c r="G421" s="3"/>
      <c r="H421" s="3"/>
      <c r="I421" s="3"/>
      <c r="J421" s="3">
        <v>500000</v>
      </c>
      <c r="K421" s="7" t="str" cm="1">
        <f t="array" ref="K421">IF(OR(C421="",B421="",I421=""),"",IFERROR((I421-_xlfn.XLOOKUP(1,(C$2:C$501=C421)*(B$2:B$501&lt;&gt;"")*(B$2:B$501=_xlfn.MAXIFS(B$2:B$501,C$2:C$501,C421,B$2:B$501,"&lt;"&amp;B421))*(I$2:I$501&lt;&gt;""),I$2:I$501))/_xlfn.XLOOKUP(1,(C$2:C$501=C421)*(B$2:B$501&lt;&gt;"")*(B$2:B$501=_xlfn.MAXIFS(B$2:B$501,C$2:C$501,C421,B$2:B$501,"&lt;"&amp;B421))*(I$2:I$501&lt;&gt;""),I$2:I$501),""))</f>
        <v/>
      </c>
    </row>
    <row r="422" spans="1:11">
      <c r="A422" t="s">
        <v>344</v>
      </c>
      <c r="B422" s="2">
        <v>46054</v>
      </c>
      <c r="C422" t="s">
        <v>12</v>
      </c>
      <c r="D422" t="s">
        <v>13</v>
      </c>
      <c r="E422" t="s">
        <v>37</v>
      </c>
      <c r="F422" s="3">
        <v>2500</v>
      </c>
      <c r="G422" s="3">
        <v>2561</v>
      </c>
      <c r="H422" s="3">
        <v>2423</v>
      </c>
      <c r="I422" s="3">
        <v>2499</v>
      </c>
      <c r="J422" s="3">
        <v>250000</v>
      </c>
      <c r="K422" s="7" cm="1">
        <f t="array" ref="K422">IF(OR(C422="",B422="",I422=""),"",IFERROR((I422-_xlfn.XLOOKUP(1,(C$2:C$501=C422)*(B$2:B$501&lt;&gt;"")*(B$2:B$501=_xlfn.MAXIFS(B$2:B$501,C$2:C$501,C422,B$2:B$501,"&lt;"&amp;B422))*(I$2:I$501&lt;&gt;""),I$2:I$501))/_xlfn.XLOOKUP(1,(C$2:C$501=C422)*(B$2:B$501&lt;&gt;"")*(B$2:B$501=_xlfn.MAXIFS(B$2:B$501,C$2:C$501,C422,B$2:B$501,"&lt;"&amp;B422))*(I$2:I$501&lt;&gt;""),I$2:I$501),""))</f>
        <v>1.0513546300040437E-2</v>
      </c>
    </row>
    <row r="423" spans="1:11">
      <c r="A423" t="s">
        <v>345</v>
      </c>
      <c r="B423" s="2">
        <v>46023</v>
      </c>
      <c r="C423" t="s">
        <v>26</v>
      </c>
      <c r="D423" t="s">
        <v>27</v>
      </c>
      <c r="E423" t="s">
        <v>28</v>
      </c>
      <c r="F423" s="3">
        <v>2500</v>
      </c>
      <c r="G423" s="3">
        <v>2516</v>
      </c>
      <c r="H423" s="3">
        <v>2427</v>
      </c>
      <c r="I423" s="3">
        <v>2469</v>
      </c>
      <c r="J423" s="3">
        <v>500000</v>
      </c>
      <c r="K423" s="7" t="str" cm="1">
        <f t="array" ref="K423">IF(OR(C423="",B423="",I423=""),"",IFERROR((I423-_xlfn.XLOOKUP(1,(C$2:C$501=C423)*(B$2:B$501&lt;&gt;"")*(B$2:B$501=_xlfn.MAXIFS(B$2:B$501,C$2:C$501,C423,B$2:B$501,"&lt;"&amp;B423))*(I$2:I$501&lt;&gt;""),I$2:I$501))/_xlfn.XLOOKUP(1,(C$2:C$501=C423)*(B$2:B$501&lt;&gt;"")*(B$2:B$501=_xlfn.MAXIFS(B$2:B$501,C$2:C$501,C423,B$2:B$501,"&lt;"&amp;B423))*(I$2:I$501&lt;&gt;""),I$2:I$501),""))</f>
        <v/>
      </c>
    </row>
    <row r="424" spans="1:11">
      <c r="A424" t="s">
        <v>345</v>
      </c>
      <c r="B424" s="2">
        <v>46054</v>
      </c>
      <c r="C424" t="s">
        <v>26</v>
      </c>
      <c r="D424" t="s">
        <v>27</v>
      </c>
      <c r="E424" t="s">
        <v>28</v>
      </c>
      <c r="F424" s="3">
        <v>2500</v>
      </c>
      <c r="G424" s="3">
        <v>2597</v>
      </c>
      <c r="H424" s="3">
        <v>2484</v>
      </c>
      <c r="I424" s="3">
        <v>2550</v>
      </c>
      <c r="J424" s="3">
        <v>100000</v>
      </c>
      <c r="K424" s="7" cm="1">
        <f t="array" ref="K424">IF(OR(C424="",B424="",I424=""),"",IFERROR((I424-_xlfn.XLOOKUP(1,(C$2:C$501=C424)*(B$2:B$501&lt;&gt;"")*(B$2:B$501=_xlfn.MAXIFS(B$2:B$501,C$2:C$501,C424,B$2:B$501,"&lt;"&amp;B424))*(I$2:I$501&lt;&gt;""),I$2:I$501))/_xlfn.XLOOKUP(1,(C$2:C$501=C424)*(B$2:B$501&lt;&gt;"")*(B$2:B$501=_xlfn.MAXIFS(B$2:B$501,C$2:C$501,C424,B$2:B$501,"&lt;"&amp;B424))*(I$2:I$501&lt;&gt;""),I$2:I$501),""))</f>
        <v>8.3036773428232496E-3</v>
      </c>
    </row>
    <row r="425" spans="1:11">
      <c r="A425" t="s">
        <v>346</v>
      </c>
      <c r="B425" s="2">
        <v>46023</v>
      </c>
      <c r="C425" t="s">
        <v>26</v>
      </c>
      <c r="D425" t="s">
        <v>27</v>
      </c>
      <c r="E425" t="s">
        <v>28</v>
      </c>
      <c r="F425" s="3">
        <v>1000</v>
      </c>
      <c r="G425" s="3">
        <v>1019</v>
      </c>
      <c r="H425" s="3">
        <v>975</v>
      </c>
      <c r="I425" s="3">
        <v>961</v>
      </c>
      <c r="J425" s="3">
        <v>100000</v>
      </c>
      <c r="K425" s="7" t="str" cm="1">
        <f t="array" ref="K425">IF(OR(C425="",B425="",I425=""),"",IFERROR((I425-_xlfn.XLOOKUP(1,(C$2:C$501=C425)*(B$2:B$501&lt;&gt;"")*(B$2:B$501=_xlfn.MAXIFS(B$2:B$501,C$2:C$501,C425,B$2:B$501,"&lt;"&amp;B425))*(I$2:I$501&lt;&gt;""),I$2:I$501))/_xlfn.XLOOKUP(1,(C$2:C$501=C425)*(B$2:B$501&lt;&gt;"")*(B$2:B$501=_xlfn.MAXIFS(B$2:B$501,C$2:C$501,C425,B$2:B$501,"&lt;"&amp;B425))*(I$2:I$501&lt;&gt;""),I$2:I$501),""))</f>
        <v/>
      </c>
    </row>
    <row r="426" spans="1:11">
      <c r="A426" t="s">
        <v>347</v>
      </c>
      <c r="B426" s="2">
        <v>46082</v>
      </c>
      <c r="C426" t="s">
        <v>12</v>
      </c>
      <c r="D426" t="s">
        <v>13</v>
      </c>
      <c r="E426" t="s">
        <v>37</v>
      </c>
      <c r="F426" s="3">
        <v>2500</v>
      </c>
      <c r="G426" s="3">
        <v>2566</v>
      </c>
      <c r="H426" s="3">
        <v>2433</v>
      </c>
      <c r="I426" s="3">
        <v>2472</v>
      </c>
      <c r="J426" s="3"/>
      <c r="K426" s="7" cm="1">
        <f t="array" ref="K426">IF(OR(C426="",B426="",I426=""),"",IFERROR((I426-_xlfn.XLOOKUP(1,(C$2:C$501=C426)*(B$2:B$501&lt;&gt;"")*(B$2:B$501=_xlfn.MAXIFS(B$2:B$501,C$2:C$501,C426,B$2:B$501,"&lt;"&amp;B426))*(I$2:I$501&lt;&gt;""),I$2:I$501))/_xlfn.XLOOKUP(1,(C$2:C$501=C426)*(B$2:B$501&lt;&gt;"")*(B$2:B$501=_xlfn.MAXIFS(B$2:B$501,C$2:C$501,C426,B$2:B$501,"&lt;"&amp;B426))*(I$2:I$501&lt;&gt;""),I$2:I$501),""))</f>
        <v>4.0469445568595711E-4</v>
      </c>
    </row>
    <row r="427" spans="1:11">
      <c r="A427" t="s">
        <v>348</v>
      </c>
      <c r="B427" s="2">
        <v>46082</v>
      </c>
      <c r="C427" t="s">
        <v>43</v>
      </c>
      <c r="D427" t="s">
        <v>44</v>
      </c>
      <c r="E427" t="s">
        <v>23</v>
      </c>
      <c r="F427" s="3">
        <v>3500</v>
      </c>
      <c r="G427" s="3">
        <v>3561</v>
      </c>
      <c r="H427" s="3">
        <v>3439</v>
      </c>
      <c r="I427" s="3">
        <v>3522</v>
      </c>
      <c r="J427" s="3"/>
      <c r="K427" s="7" cm="1">
        <f t="array" ref="K427">IF(OR(C427="",B427="",I427=""),"",IFERROR((I427-_xlfn.XLOOKUP(1,(C$2:C$501=C427)*(B$2:B$501&lt;&gt;"")*(B$2:B$501=_xlfn.MAXIFS(B$2:B$501,C$2:C$501,C427,B$2:B$501,"&lt;"&amp;B427))*(I$2:I$501&lt;&gt;""),I$2:I$501))/_xlfn.XLOOKUP(1,(C$2:C$501=C427)*(B$2:B$501&lt;&gt;"")*(B$2:B$501=_xlfn.MAXIFS(B$2:B$501,C$2:C$501,C427,B$2:B$501,"&lt;"&amp;B427))*(I$2:I$501&lt;&gt;""),I$2:I$501),""))</f>
        <v>2.3865384615384615</v>
      </c>
    </row>
    <row r="428" spans="1:11">
      <c r="A428" t="s">
        <v>348</v>
      </c>
      <c r="B428" s="2">
        <v>46082</v>
      </c>
      <c r="C428" t="s">
        <v>43</v>
      </c>
      <c r="D428" t="s">
        <v>44</v>
      </c>
      <c r="E428" t="s">
        <v>23</v>
      </c>
      <c r="F428" s="3"/>
      <c r="G428" s="3"/>
      <c r="H428" s="3"/>
      <c r="I428" s="3"/>
      <c r="J428" s="3">
        <v>500000</v>
      </c>
      <c r="K428" s="7" t="str" cm="1">
        <f t="array" ref="K428">IF(OR(C428="",B428="",I428=""),"",IFERROR((I428-_xlfn.XLOOKUP(1,(C$2:C$501=C428)*(B$2:B$501&lt;&gt;"")*(B$2:B$501=_xlfn.MAXIFS(B$2:B$501,C$2:C$501,C428,B$2:B$501,"&lt;"&amp;B428))*(I$2:I$501&lt;&gt;""),I$2:I$501))/_xlfn.XLOOKUP(1,(C$2:C$501=C428)*(B$2:B$501&lt;&gt;"")*(B$2:B$501=_xlfn.MAXIFS(B$2:B$501,C$2:C$501,C428,B$2:B$501,"&lt;"&amp;B428))*(I$2:I$501&lt;&gt;""),I$2:I$501),""))</f>
        <v/>
      </c>
    </row>
    <row r="429" spans="1:11">
      <c r="A429" t="s">
        <v>349</v>
      </c>
      <c r="B429" s="2">
        <v>46054</v>
      </c>
      <c r="C429" t="s">
        <v>16</v>
      </c>
      <c r="D429" t="s">
        <v>17</v>
      </c>
      <c r="E429" t="s">
        <v>18</v>
      </c>
      <c r="F429" s="3">
        <v>1000</v>
      </c>
      <c r="G429" s="3">
        <v>1081</v>
      </c>
      <c r="H429" s="3">
        <v>922</v>
      </c>
      <c r="I429" s="3">
        <v>992</v>
      </c>
      <c r="J429" s="3">
        <v>250000</v>
      </c>
      <c r="K429" s="7" cm="1">
        <f t="array" ref="K429">IF(OR(C429="",B429="",I429=""),"",IFERROR((I429-_xlfn.XLOOKUP(1,(C$2:C$501=C429)*(B$2:B$501&lt;&gt;"")*(B$2:B$501=_xlfn.MAXIFS(B$2:B$501,C$2:C$501,C429,B$2:B$501,"&lt;"&amp;B429))*(I$2:I$501&lt;&gt;""),I$2:I$501))/_xlfn.XLOOKUP(1,(C$2:C$501=C429)*(B$2:B$501&lt;&gt;"")*(B$2:B$501=_xlfn.MAXIFS(B$2:B$501,C$2:C$501,C429,B$2:B$501,"&lt;"&amp;B429))*(I$2:I$501&lt;&gt;""),I$2:I$501),""))</f>
        <v>-0.59983864461476399</v>
      </c>
    </row>
    <row r="430" spans="1:11">
      <c r="A430" t="s">
        <v>349</v>
      </c>
      <c r="B430" s="2">
        <v>46082</v>
      </c>
      <c r="C430" t="s">
        <v>43</v>
      </c>
      <c r="D430" t="s">
        <v>44</v>
      </c>
      <c r="E430" t="s">
        <v>23</v>
      </c>
      <c r="F430" s="3"/>
      <c r="G430" s="3"/>
      <c r="H430" s="3"/>
      <c r="I430" s="3"/>
      <c r="J430" s="3"/>
      <c r="K430" s="7" t="str" cm="1">
        <f t="array" ref="K430">IF(OR(C430="",B430="",I430=""),"",IFERROR((I430-_xlfn.XLOOKUP(1,(C$2:C$501=C430)*(B$2:B$501&lt;&gt;"")*(B$2:B$501=_xlfn.MAXIFS(B$2:B$501,C$2:C$501,C430,B$2:B$501,"&lt;"&amp;B430))*(I$2:I$501&lt;&gt;""),I$2:I$501))/_xlfn.XLOOKUP(1,(C$2:C$501=C430)*(B$2:B$501&lt;&gt;"")*(B$2:B$501=_xlfn.MAXIFS(B$2:B$501,C$2:C$501,C430,B$2:B$501,"&lt;"&amp;B430))*(I$2:I$501&lt;&gt;""),I$2:I$501),""))</f>
        <v/>
      </c>
    </row>
    <row r="431" spans="1:11">
      <c r="A431" t="s">
        <v>350</v>
      </c>
      <c r="B431" s="2">
        <v>46082</v>
      </c>
      <c r="C431" t="s">
        <v>26</v>
      </c>
      <c r="D431" t="s">
        <v>27</v>
      </c>
      <c r="E431" t="s">
        <v>28</v>
      </c>
      <c r="F431" s="3">
        <v>1000</v>
      </c>
      <c r="G431" s="3">
        <v>1081</v>
      </c>
      <c r="H431" s="3">
        <v>961</v>
      </c>
      <c r="I431" s="3">
        <v>1038</v>
      </c>
      <c r="J431" s="3"/>
      <c r="K431" s="7" cm="1">
        <f t="array" ref="K431">IF(OR(C431="",B431="",I431=""),"",IFERROR((I431-_xlfn.XLOOKUP(1,(C$2:C$501=C431)*(B$2:B$501&lt;&gt;"")*(B$2:B$501=_xlfn.MAXIFS(B$2:B$501,C$2:C$501,C431,B$2:B$501,"&lt;"&amp;B431))*(I$2:I$501&lt;&gt;""),I$2:I$501))/_xlfn.XLOOKUP(1,(C$2:C$501=C431)*(B$2:B$501&lt;&gt;"")*(B$2:B$501=_xlfn.MAXIFS(B$2:B$501,C$2:C$501,C431,B$2:B$501,"&lt;"&amp;B431))*(I$2:I$501&lt;&gt;""),I$2:I$501),""))</f>
        <v>-0.70594900849858355</v>
      </c>
    </row>
    <row r="432" spans="1:11">
      <c r="A432" t="s">
        <v>351</v>
      </c>
      <c r="B432" s="2">
        <v>46082</v>
      </c>
      <c r="C432" t="s">
        <v>22</v>
      </c>
      <c r="D432" t="s">
        <v>22</v>
      </c>
      <c r="E432" t="s">
        <v>23</v>
      </c>
      <c r="F432" s="3">
        <v>1000</v>
      </c>
      <c r="G432" s="3">
        <v>1035</v>
      </c>
      <c r="H432" s="3">
        <v>977</v>
      </c>
      <c r="I432" s="3">
        <v>1003</v>
      </c>
      <c r="J432" s="3">
        <v>250000</v>
      </c>
      <c r="K432" s="7" cm="1">
        <f t="array" ref="K432">IF(OR(C432="",B432="",I432=""),"",IFERROR((I432-_xlfn.XLOOKUP(1,(C$2:C$501=C432)*(B$2:B$501&lt;&gt;"")*(B$2:B$501=_xlfn.MAXIFS(B$2:B$501,C$2:C$501,C432,B$2:B$501,"&lt;"&amp;B432))*(I$2:I$501&lt;&gt;""),I$2:I$501))/_xlfn.XLOOKUP(1,(C$2:C$501=C432)*(B$2:B$501&lt;&gt;"")*(B$2:B$501=_xlfn.MAXIFS(B$2:B$501,C$2:C$501,C432,B$2:B$501,"&lt;"&amp;B432))*(I$2:I$501&lt;&gt;""),I$2:I$501),""))</f>
        <v>-0.71554169030062398</v>
      </c>
    </row>
    <row r="433" spans="1:11">
      <c r="A433" t="s">
        <v>352</v>
      </c>
      <c r="B433" s="2">
        <v>46054</v>
      </c>
      <c r="C433" t="s">
        <v>26</v>
      </c>
      <c r="D433" t="s">
        <v>27</v>
      </c>
      <c r="E433" t="s">
        <v>28</v>
      </c>
      <c r="F433" s="3">
        <v>2500</v>
      </c>
      <c r="G433" s="3">
        <v>2576</v>
      </c>
      <c r="H433" s="3">
        <v>2439</v>
      </c>
      <c r="I433" s="3">
        <v>2535</v>
      </c>
      <c r="J433" s="3">
        <v>500000</v>
      </c>
      <c r="K433" s="7" cm="1">
        <f t="array" ref="K433">IF(OR(C433="",B433="",I433=""),"",IFERROR((I433-_xlfn.XLOOKUP(1,(C$2:C$501=C433)*(B$2:B$501&lt;&gt;"")*(B$2:B$501=_xlfn.MAXIFS(B$2:B$501,C$2:C$501,C433,B$2:B$501,"&lt;"&amp;B433))*(I$2:I$501&lt;&gt;""),I$2:I$501))/_xlfn.XLOOKUP(1,(C$2:C$501=C433)*(B$2:B$501&lt;&gt;"")*(B$2:B$501=_xlfn.MAXIFS(B$2:B$501,C$2:C$501,C433,B$2:B$501,"&lt;"&amp;B433))*(I$2:I$501&lt;&gt;""),I$2:I$501),""))</f>
        <v>2.3724792408066431E-3</v>
      </c>
    </row>
    <row r="434" spans="1:11">
      <c r="A434" t="s">
        <v>353</v>
      </c>
      <c r="C434" t="s">
        <v>12</v>
      </c>
      <c r="D434" t="s">
        <v>13</v>
      </c>
      <c r="E434" t="s">
        <v>37</v>
      </c>
      <c r="F434" s="3">
        <v>2500</v>
      </c>
      <c r="G434" s="3">
        <v>2581</v>
      </c>
      <c r="H434" s="3">
        <v>2421</v>
      </c>
      <c r="I434" s="3">
        <v>2500</v>
      </c>
      <c r="J434" s="3">
        <v>100000</v>
      </c>
      <c r="K434" s="7" t="str" cm="1">
        <f t="array" ref="K434">IF(OR(C434="",B434="",I434=""),"",IFERROR((I434-_xlfn.XLOOKUP(1,(C$2:C$501=C434)*(B$2:B$501&lt;&gt;"")*(B$2:B$501=_xlfn.MAXIFS(B$2:B$501,C$2:C$501,C434,B$2:B$501,"&lt;"&amp;B434))*(I$2:I$501&lt;&gt;""),I$2:I$501))/_xlfn.XLOOKUP(1,(C$2:C$501=C434)*(B$2:B$501&lt;&gt;"")*(B$2:B$501=_xlfn.MAXIFS(B$2:B$501,C$2:C$501,C434,B$2:B$501,"&lt;"&amp;B434))*(I$2:I$501&lt;&gt;""),I$2:I$501),""))</f>
        <v/>
      </c>
    </row>
    <row r="435" spans="1:11">
      <c r="A435" t="s">
        <v>354</v>
      </c>
      <c r="B435" s="2">
        <v>46082</v>
      </c>
      <c r="C435" t="s">
        <v>22</v>
      </c>
      <c r="D435" t="s">
        <v>22</v>
      </c>
      <c r="E435" t="s">
        <v>23</v>
      </c>
      <c r="F435" s="3">
        <v>3500</v>
      </c>
      <c r="G435" s="3">
        <v>3595</v>
      </c>
      <c r="H435" s="3">
        <v>3478</v>
      </c>
      <c r="I435" s="3">
        <v>3478</v>
      </c>
      <c r="J435" s="3">
        <v>250000</v>
      </c>
      <c r="K435" s="7" cm="1">
        <f t="array" ref="K435">IF(OR(C435="",B435="",I435=""),"",IFERROR((I435-_xlfn.XLOOKUP(1,(C$2:C$501=C435)*(B$2:B$501&lt;&gt;"")*(B$2:B$501=_xlfn.MAXIFS(B$2:B$501,C$2:C$501,C435,B$2:B$501,"&lt;"&amp;B435))*(I$2:I$501&lt;&gt;""),I$2:I$501))/_xlfn.XLOOKUP(1,(C$2:C$501=C435)*(B$2:B$501&lt;&gt;"")*(B$2:B$501=_xlfn.MAXIFS(B$2:B$501,C$2:C$501,C435,B$2:B$501,"&lt;"&amp;B435))*(I$2:I$501&lt;&gt;""),I$2:I$501),""))</f>
        <v>-1.3613159387407828E-2</v>
      </c>
    </row>
    <row r="436" spans="1:11">
      <c r="A436" t="s">
        <v>355</v>
      </c>
      <c r="B436" s="2">
        <v>46023</v>
      </c>
      <c r="C436" t="s">
        <v>22</v>
      </c>
      <c r="D436" t="s">
        <v>22</v>
      </c>
      <c r="E436" t="s">
        <v>23</v>
      </c>
      <c r="F436" s="3">
        <v>2500</v>
      </c>
      <c r="G436" s="3">
        <v>2587</v>
      </c>
      <c r="H436" s="3">
        <v>2481</v>
      </c>
      <c r="I436" s="3">
        <v>2506</v>
      </c>
      <c r="J436" s="3">
        <v>100000</v>
      </c>
      <c r="K436" s="7" t="str" cm="1">
        <f t="array" ref="K436">IF(OR(C436="",B436="",I436=""),"",IFERROR((I436-_xlfn.XLOOKUP(1,(C$2:C$501=C436)*(B$2:B$501&lt;&gt;"")*(B$2:B$501=_xlfn.MAXIFS(B$2:B$501,C$2:C$501,C436,B$2:B$501,"&lt;"&amp;B436))*(I$2:I$501&lt;&gt;""),I$2:I$501))/_xlfn.XLOOKUP(1,(C$2:C$501=C436)*(B$2:B$501&lt;&gt;"")*(B$2:B$501=_xlfn.MAXIFS(B$2:B$501,C$2:C$501,C436,B$2:B$501,"&lt;"&amp;B436))*(I$2:I$501&lt;&gt;""),I$2:I$501),""))</f>
        <v/>
      </c>
    </row>
    <row r="437" spans="1:11">
      <c r="A437" t="s">
        <v>355</v>
      </c>
      <c r="B437" s="2">
        <v>46082</v>
      </c>
      <c r="C437" t="s">
        <v>16</v>
      </c>
      <c r="D437" t="s">
        <v>17</v>
      </c>
      <c r="E437" t="s">
        <v>18</v>
      </c>
      <c r="F437" s="3"/>
      <c r="G437" s="3"/>
      <c r="H437" s="3"/>
      <c r="I437" s="3"/>
      <c r="J437" s="3">
        <v>100000</v>
      </c>
      <c r="K437" s="7" t="str" cm="1">
        <f t="array" ref="K437">IF(OR(C437="",B437="",I437=""),"",IFERROR((I437-_xlfn.XLOOKUP(1,(C$2:C$501=C437)*(B$2:B$501&lt;&gt;"")*(B$2:B$501=_xlfn.MAXIFS(B$2:B$501,C$2:C$501,C437,B$2:B$501,"&lt;"&amp;B437))*(I$2:I$501&lt;&gt;""),I$2:I$501))/_xlfn.XLOOKUP(1,(C$2:C$501=C437)*(B$2:B$501&lt;&gt;"")*(B$2:B$501=_xlfn.MAXIFS(B$2:B$501,C$2:C$501,C437,B$2:B$501,"&lt;"&amp;B437))*(I$2:I$501&lt;&gt;""),I$2:I$501),""))</f>
        <v/>
      </c>
    </row>
    <row r="438" spans="1:11">
      <c r="A438" t="s">
        <v>356</v>
      </c>
      <c r="B438" s="2">
        <v>46023</v>
      </c>
      <c r="C438" t="s">
        <v>12</v>
      </c>
      <c r="D438" t="s">
        <v>13</v>
      </c>
      <c r="E438" t="s">
        <v>37</v>
      </c>
      <c r="F438" s="3">
        <v>3500</v>
      </c>
      <c r="G438" s="3">
        <v>3589</v>
      </c>
      <c r="H438" s="3">
        <v>3480</v>
      </c>
      <c r="I438" s="3">
        <v>3529</v>
      </c>
      <c r="J438" s="3">
        <v>500000</v>
      </c>
      <c r="K438" s="7" t="str" cm="1">
        <f t="array" ref="K438">IF(OR(C438="",B438="",I438=""),"",IFERROR((I438-_xlfn.XLOOKUP(1,(C$2:C$501=C438)*(B$2:B$501&lt;&gt;"")*(B$2:B$501=_xlfn.MAXIFS(B$2:B$501,C$2:C$501,C438,B$2:B$501,"&lt;"&amp;B438))*(I$2:I$501&lt;&gt;""),I$2:I$501))/_xlfn.XLOOKUP(1,(C$2:C$501=C438)*(B$2:B$501&lt;&gt;"")*(B$2:B$501=_xlfn.MAXIFS(B$2:B$501,C$2:C$501,C438,B$2:B$501,"&lt;"&amp;B438))*(I$2:I$501&lt;&gt;""),I$2:I$501),""))</f>
        <v/>
      </c>
    </row>
    <row r="439" spans="1:11">
      <c r="A439" t="s">
        <v>357</v>
      </c>
      <c r="B439" s="2">
        <v>46054</v>
      </c>
      <c r="C439" t="s">
        <v>16</v>
      </c>
      <c r="D439" t="s">
        <v>17</v>
      </c>
      <c r="E439" t="s">
        <v>18</v>
      </c>
      <c r="F439" s="3"/>
      <c r="G439" s="3"/>
      <c r="H439" s="3"/>
      <c r="I439" s="3"/>
      <c r="J439" s="3">
        <v>100000</v>
      </c>
      <c r="K439" s="7" t="str" cm="1">
        <f t="array" ref="K439">IF(OR(C439="",B439="",I439=""),"",IFERROR((I439-_xlfn.XLOOKUP(1,(C$2:C$501=C439)*(B$2:B$501&lt;&gt;"")*(B$2:B$501=_xlfn.MAXIFS(B$2:B$501,C$2:C$501,C439,B$2:B$501,"&lt;"&amp;B439))*(I$2:I$501&lt;&gt;""),I$2:I$501))/_xlfn.XLOOKUP(1,(C$2:C$501=C439)*(B$2:B$501&lt;&gt;"")*(B$2:B$501=_xlfn.MAXIFS(B$2:B$501,C$2:C$501,C439,B$2:B$501,"&lt;"&amp;B439))*(I$2:I$501&lt;&gt;""),I$2:I$501),""))</f>
        <v/>
      </c>
    </row>
    <row r="440" spans="1:11">
      <c r="A440" t="s">
        <v>357</v>
      </c>
      <c r="B440" s="2">
        <v>46054</v>
      </c>
      <c r="C440" t="s">
        <v>12</v>
      </c>
      <c r="D440" t="s">
        <v>13</v>
      </c>
      <c r="E440" t="s">
        <v>37</v>
      </c>
      <c r="F440" s="3">
        <v>2500</v>
      </c>
      <c r="G440" s="3">
        <v>2514</v>
      </c>
      <c r="H440" s="3">
        <v>2430</v>
      </c>
      <c r="I440" s="3">
        <v>2511</v>
      </c>
      <c r="J440" s="3">
        <v>250000</v>
      </c>
      <c r="K440" s="7" cm="1">
        <f t="array" ref="K440">IF(OR(C440="",B440="",I440=""),"",IFERROR((I440-_xlfn.XLOOKUP(1,(C$2:C$501=C440)*(B$2:B$501&lt;&gt;"")*(B$2:B$501=_xlfn.MAXIFS(B$2:B$501,C$2:C$501,C440,B$2:B$501,"&lt;"&amp;B440))*(I$2:I$501&lt;&gt;""),I$2:I$501))/_xlfn.XLOOKUP(1,(C$2:C$501=C440)*(B$2:B$501&lt;&gt;"")*(B$2:B$501=_xlfn.MAXIFS(B$2:B$501,C$2:C$501,C440,B$2:B$501,"&lt;"&amp;B440))*(I$2:I$501&lt;&gt;""),I$2:I$501),""))</f>
        <v>1.5365952284674484E-2</v>
      </c>
    </row>
    <row r="441" spans="1:11">
      <c r="A441" t="s">
        <v>358</v>
      </c>
      <c r="B441" s="2">
        <v>46023</v>
      </c>
      <c r="C441" t="s">
        <v>43</v>
      </c>
      <c r="D441" t="s">
        <v>44</v>
      </c>
      <c r="E441" t="s">
        <v>23</v>
      </c>
      <c r="F441" s="3">
        <v>1000</v>
      </c>
      <c r="G441" s="3">
        <v>1084</v>
      </c>
      <c r="H441" s="3">
        <v>939</v>
      </c>
      <c r="I441" s="3">
        <v>989</v>
      </c>
      <c r="J441" s="3">
        <v>100000</v>
      </c>
      <c r="K441" s="7" t="str" cm="1">
        <f t="array" ref="K441">IF(OR(C441="",B441="",I441=""),"",IFERROR((I441-_xlfn.XLOOKUP(1,(C$2:C$501=C441)*(B$2:B$501&lt;&gt;"")*(B$2:B$501=_xlfn.MAXIFS(B$2:B$501,C$2:C$501,C441,B$2:B$501,"&lt;"&amp;B441))*(I$2:I$501&lt;&gt;""),I$2:I$501))/_xlfn.XLOOKUP(1,(C$2:C$501=C441)*(B$2:B$501&lt;&gt;"")*(B$2:B$501=_xlfn.MAXIFS(B$2:B$501,C$2:C$501,C441,B$2:B$501,"&lt;"&amp;B441))*(I$2:I$501&lt;&gt;""),I$2:I$501),""))</f>
        <v/>
      </c>
    </row>
    <row r="442" spans="1:11">
      <c r="A442" t="s">
        <v>359</v>
      </c>
      <c r="B442" s="2">
        <v>46023</v>
      </c>
      <c r="C442" t="s">
        <v>22</v>
      </c>
      <c r="D442" t="s">
        <v>22</v>
      </c>
      <c r="E442" t="s">
        <v>23</v>
      </c>
      <c r="F442" s="3">
        <v>1000</v>
      </c>
      <c r="G442" s="3">
        <v>1032</v>
      </c>
      <c r="H442" s="3">
        <v>955</v>
      </c>
      <c r="I442" s="3">
        <v>967</v>
      </c>
      <c r="J442" s="3">
        <v>250000</v>
      </c>
      <c r="K442" s="7" t="str" cm="1">
        <f t="array" ref="K442">IF(OR(C442="",B442="",I442=""),"",IFERROR((I442-_xlfn.XLOOKUP(1,(C$2:C$501=C442)*(B$2:B$501&lt;&gt;"")*(B$2:B$501=_xlfn.MAXIFS(B$2:B$501,C$2:C$501,C442,B$2:B$501,"&lt;"&amp;B442))*(I$2:I$501&lt;&gt;""),I$2:I$501))/_xlfn.XLOOKUP(1,(C$2:C$501=C442)*(B$2:B$501&lt;&gt;"")*(B$2:B$501=_xlfn.MAXIFS(B$2:B$501,C$2:C$501,C442,B$2:B$501,"&lt;"&amp;B442))*(I$2:I$501&lt;&gt;""),I$2:I$501),""))</f>
        <v/>
      </c>
    </row>
    <row r="443" spans="1:11">
      <c r="A443" t="s">
        <v>360</v>
      </c>
      <c r="C443" t="s">
        <v>43</v>
      </c>
      <c r="D443" t="s">
        <v>44</v>
      </c>
      <c r="E443" t="s">
        <v>23</v>
      </c>
      <c r="F443" s="3"/>
      <c r="G443" s="3"/>
      <c r="H443" s="3"/>
      <c r="I443" s="3"/>
      <c r="J443" s="3">
        <v>500000</v>
      </c>
      <c r="K443" s="7" t="str" cm="1">
        <f t="array" ref="K443">IF(OR(C443="",B443="",I443=""),"",IFERROR((I443-_xlfn.XLOOKUP(1,(C$2:C$501=C443)*(B$2:B$501&lt;&gt;"")*(B$2:B$501=_xlfn.MAXIFS(B$2:B$501,C$2:C$501,C443,B$2:B$501,"&lt;"&amp;B443))*(I$2:I$501&lt;&gt;""),I$2:I$501))/_xlfn.XLOOKUP(1,(C$2:C$501=C443)*(B$2:B$501&lt;&gt;"")*(B$2:B$501=_xlfn.MAXIFS(B$2:B$501,C$2:C$501,C443,B$2:B$501,"&lt;"&amp;B443))*(I$2:I$501&lt;&gt;""),I$2:I$501),""))</f>
        <v/>
      </c>
    </row>
    <row r="444" spans="1:11">
      <c r="A444" t="s">
        <v>361</v>
      </c>
      <c r="B444" s="2">
        <v>46054</v>
      </c>
      <c r="C444" t="s">
        <v>16</v>
      </c>
      <c r="D444" t="s">
        <v>17</v>
      </c>
      <c r="E444" t="s">
        <v>18</v>
      </c>
      <c r="F444" s="3">
        <v>2500</v>
      </c>
      <c r="G444" s="3">
        <v>2539</v>
      </c>
      <c r="H444" s="3">
        <v>2467</v>
      </c>
      <c r="I444" s="3">
        <v>2452</v>
      </c>
      <c r="J444" s="3">
        <v>100000</v>
      </c>
      <c r="K444" s="7" cm="1">
        <f t="array" ref="K444">IF(OR(C444="",B444="",I444=""),"",IFERROR((I444-_xlfn.XLOOKUP(1,(C$2:C$501=C444)*(B$2:B$501&lt;&gt;"")*(B$2:B$501=_xlfn.MAXIFS(B$2:B$501,C$2:C$501,C444,B$2:B$501,"&lt;"&amp;B444))*(I$2:I$501&lt;&gt;""),I$2:I$501))/_xlfn.XLOOKUP(1,(C$2:C$501=C444)*(B$2:B$501&lt;&gt;"")*(B$2:B$501=_xlfn.MAXIFS(B$2:B$501,C$2:C$501,C444,B$2:B$501,"&lt;"&amp;B444))*(I$2:I$501&lt;&gt;""),I$2:I$501),""))</f>
        <v>-1.0891488503428802E-2</v>
      </c>
    </row>
    <row r="445" spans="1:11">
      <c r="A445" t="s">
        <v>362</v>
      </c>
      <c r="C445" t="s">
        <v>16</v>
      </c>
      <c r="D445" t="s">
        <v>17</v>
      </c>
      <c r="E445" t="s">
        <v>18</v>
      </c>
      <c r="F445" s="3">
        <v>2500</v>
      </c>
      <c r="G445" s="3">
        <v>2526</v>
      </c>
      <c r="H445" s="3">
        <v>2482</v>
      </c>
      <c r="I445" s="3">
        <v>2500</v>
      </c>
      <c r="J445" s="3">
        <v>500000</v>
      </c>
      <c r="K445" s="7" t="str" cm="1">
        <f t="array" ref="K445">IF(OR(C445="",B445="",I445=""),"",IFERROR((I445-_xlfn.XLOOKUP(1,(C$2:C$501=C445)*(B$2:B$501&lt;&gt;"")*(B$2:B$501=_xlfn.MAXIFS(B$2:B$501,C$2:C$501,C445,B$2:B$501,"&lt;"&amp;B445))*(I$2:I$501&lt;&gt;""),I$2:I$501))/_xlfn.XLOOKUP(1,(C$2:C$501=C445)*(B$2:B$501&lt;&gt;"")*(B$2:B$501=_xlfn.MAXIFS(B$2:B$501,C$2:C$501,C445,B$2:B$501,"&lt;"&amp;B445))*(I$2:I$501&lt;&gt;""),I$2:I$501),""))</f>
        <v/>
      </c>
    </row>
    <row r="446" spans="1:11">
      <c r="A446" t="s">
        <v>362</v>
      </c>
      <c r="B446" s="2">
        <v>46023</v>
      </c>
      <c r="C446" t="s">
        <v>16</v>
      </c>
      <c r="D446" t="s">
        <v>17</v>
      </c>
      <c r="E446" t="s">
        <v>18</v>
      </c>
      <c r="F446" s="3">
        <v>1000</v>
      </c>
      <c r="G446" s="3">
        <v>1038</v>
      </c>
      <c r="H446" s="3">
        <v>988</v>
      </c>
      <c r="I446" s="3">
        <v>1043</v>
      </c>
      <c r="J446" s="3">
        <v>100000</v>
      </c>
      <c r="K446" s="7" t="str" cm="1">
        <f t="array" ref="K446">IF(OR(C446="",B446="",I446=""),"",IFERROR((I446-_xlfn.XLOOKUP(1,(C$2:C$501=C446)*(B$2:B$501&lt;&gt;"")*(B$2:B$501=_xlfn.MAXIFS(B$2:B$501,C$2:C$501,C446,B$2:B$501,"&lt;"&amp;B446))*(I$2:I$501&lt;&gt;""),I$2:I$501))/_xlfn.XLOOKUP(1,(C$2:C$501=C446)*(B$2:B$501&lt;&gt;"")*(B$2:B$501=_xlfn.MAXIFS(B$2:B$501,C$2:C$501,C446,B$2:B$501,"&lt;"&amp;B446))*(I$2:I$501&lt;&gt;""),I$2:I$501),""))</f>
        <v/>
      </c>
    </row>
    <row r="447" spans="1:11">
      <c r="A447" t="s">
        <v>363</v>
      </c>
      <c r="B447" s="2">
        <v>46023</v>
      </c>
      <c r="C447" t="s">
        <v>26</v>
      </c>
      <c r="D447" t="s">
        <v>27</v>
      </c>
      <c r="E447" t="s">
        <v>28</v>
      </c>
      <c r="F447" s="3">
        <v>1000</v>
      </c>
      <c r="G447" s="3">
        <v>1081</v>
      </c>
      <c r="H447" s="3">
        <v>954</v>
      </c>
      <c r="I447" s="3">
        <v>1004</v>
      </c>
      <c r="J447" s="3"/>
      <c r="K447" s="7" t="str" cm="1">
        <f t="array" ref="K447">IF(OR(C447="",B447="",I447=""),"",IFERROR((I447-_xlfn.XLOOKUP(1,(C$2:C$501=C447)*(B$2:B$501&lt;&gt;"")*(B$2:B$501=_xlfn.MAXIFS(B$2:B$501,C$2:C$501,C447,B$2:B$501,"&lt;"&amp;B447))*(I$2:I$501&lt;&gt;""),I$2:I$501))/_xlfn.XLOOKUP(1,(C$2:C$501=C447)*(B$2:B$501&lt;&gt;"")*(B$2:B$501=_xlfn.MAXIFS(B$2:B$501,C$2:C$501,C447,B$2:B$501,"&lt;"&amp;B447))*(I$2:I$501&lt;&gt;""),I$2:I$501),""))</f>
        <v/>
      </c>
    </row>
    <row r="448" spans="1:11">
      <c r="A448" t="s">
        <v>364</v>
      </c>
      <c r="C448" t="s">
        <v>22</v>
      </c>
      <c r="D448" t="s">
        <v>22</v>
      </c>
      <c r="E448" t="s">
        <v>23</v>
      </c>
      <c r="F448" s="3"/>
      <c r="G448" s="3"/>
      <c r="H448" s="3"/>
      <c r="I448" s="3"/>
      <c r="J448" s="3">
        <v>100000</v>
      </c>
      <c r="K448" s="7" t="str" cm="1">
        <f t="array" ref="K448">IF(OR(C448="",B448="",I448=""),"",IFERROR((I448-_xlfn.XLOOKUP(1,(C$2:C$501=C448)*(B$2:B$501&lt;&gt;"")*(B$2:B$501=_xlfn.MAXIFS(B$2:B$501,C$2:C$501,C448,B$2:B$501,"&lt;"&amp;B448))*(I$2:I$501&lt;&gt;""),I$2:I$501))/_xlfn.XLOOKUP(1,(C$2:C$501=C448)*(B$2:B$501&lt;&gt;"")*(B$2:B$501=_xlfn.MAXIFS(B$2:B$501,C$2:C$501,C448,B$2:B$501,"&lt;"&amp;B448))*(I$2:I$501&lt;&gt;""),I$2:I$501),""))</f>
        <v/>
      </c>
    </row>
    <row r="449" spans="1:11">
      <c r="A449" t="s">
        <v>364</v>
      </c>
      <c r="C449" t="s">
        <v>12</v>
      </c>
      <c r="D449" t="s">
        <v>13</v>
      </c>
      <c r="E449" t="s">
        <v>37</v>
      </c>
      <c r="F449" s="3">
        <v>1000</v>
      </c>
      <c r="G449" s="3">
        <v>1019</v>
      </c>
      <c r="H449" s="3">
        <v>962</v>
      </c>
      <c r="I449" s="3">
        <v>995</v>
      </c>
      <c r="J449" s="3"/>
      <c r="K449" s="7" t="str" cm="1">
        <f t="array" ref="K449">IF(OR(C449="",B449="",I449=""),"",IFERROR((I449-_xlfn.XLOOKUP(1,(C$2:C$501=C449)*(B$2:B$501&lt;&gt;"")*(B$2:B$501=_xlfn.MAXIFS(B$2:B$501,C$2:C$501,C449,B$2:B$501,"&lt;"&amp;B449))*(I$2:I$501&lt;&gt;""),I$2:I$501))/_xlfn.XLOOKUP(1,(C$2:C$501=C449)*(B$2:B$501&lt;&gt;"")*(B$2:B$501=_xlfn.MAXIFS(B$2:B$501,C$2:C$501,C449,B$2:B$501,"&lt;"&amp;B449))*(I$2:I$501&lt;&gt;""),I$2:I$501),""))</f>
        <v/>
      </c>
    </row>
    <row r="450" spans="1:11">
      <c r="A450" t="s">
        <v>365</v>
      </c>
      <c r="C450" t="s">
        <v>22</v>
      </c>
      <c r="D450" t="s">
        <v>22</v>
      </c>
      <c r="E450" t="s">
        <v>23</v>
      </c>
      <c r="F450" s="3">
        <v>1000</v>
      </c>
      <c r="G450" s="3">
        <v>1100</v>
      </c>
      <c r="H450" s="3">
        <v>921</v>
      </c>
      <c r="I450" s="3">
        <v>1047</v>
      </c>
      <c r="J450" s="3">
        <v>100000</v>
      </c>
      <c r="K450" s="7" t="str" cm="1">
        <f t="array" ref="K450">IF(OR(C450="",B450="",I450=""),"",IFERROR((I450-_xlfn.XLOOKUP(1,(C$2:C$501=C450)*(B$2:B$501&lt;&gt;"")*(B$2:B$501=_xlfn.MAXIFS(B$2:B$501,C$2:C$501,C450,B$2:B$501,"&lt;"&amp;B450))*(I$2:I$501&lt;&gt;""),I$2:I$501))/_xlfn.XLOOKUP(1,(C$2:C$501=C450)*(B$2:B$501&lt;&gt;"")*(B$2:B$501=_xlfn.MAXIFS(B$2:B$501,C$2:C$501,C450,B$2:B$501,"&lt;"&amp;B450))*(I$2:I$501&lt;&gt;""),I$2:I$501),""))</f>
        <v/>
      </c>
    </row>
    <row r="451" spans="1:11">
      <c r="A451" t="s">
        <v>366</v>
      </c>
      <c r="B451" s="2">
        <v>46023</v>
      </c>
      <c r="C451" t="s">
        <v>22</v>
      </c>
      <c r="D451" t="s">
        <v>22</v>
      </c>
      <c r="E451" t="s">
        <v>23</v>
      </c>
      <c r="F451" s="3">
        <v>2500</v>
      </c>
      <c r="G451" s="3">
        <v>2528</v>
      </c>
      <c r="H451" s="3">
        <v>2430</v>
      </c>
      <c r="I451" s="3">
        <v>2539</v>
      </c>
      <c r="J451" s="3"/>
      <c r="K451" s="7" t="str" cm="1">
        <f t="array" ref="K451">IF(OR(C451="",B451="",I451=""),"",IFERROR((I451-_xlfn.XLOOKUP(1,(C$2:C$501=C451)*(B$2:B$501&lt;&gt;"")*(B$2:B$501=_xlfn.MAXIFS(B$2:B$501,C$2:C$501,C451,B$2:B$501,"&lt;"&amp;B451))*(I$2:I$501&lt;&gt;""),I$2:I$501))/_xlfn.XLOOKUP(1,(C$2:C$501=C451)*(B$2:B$501&lt;&gt;"")*(B$2:B$501=_xlfn.MAXIFS(B$2:B$501,C$2:C$501,C451,B$2:B$501,"&lt;"&amp;B451))*(I$2:I$501&lt;&gt;""),I$2:I$501),""))</f>
        <v/>
      </c>
    </row>
    <row r="452" spans="1:11">
      <c r="A452" t="s">
        <v>367</v>
      </c>
      <c r="C452" t="s">
        <v>43</v>
      </c>
      <c r="D452" t="s">
        <v>44</v>
      </c>
      <c r="E452" t="s">
        <v>23</v>
      </c>
      <c r="F452" s="3">
        <v>3500</v>
      </c>
      <c r="G452" s="3">
        <v>3548</v>
      </c>
      <c r="H452" s="3">
        <v>3469</v>
      </c>
      <c r="I452" s="3">
        <v>3504</v>
      </c>
      <c r="J452" s="3"/>
      <c r="K452" s="7" t="str" cm="1">
        <f t="array" ref="K452">IF(OR(C452="",B452="",I452=""),"",IFERROR((I452-_xlfn.XLOOKUP(1,(C$2:C$501=C452)*(B$2:B$501&lt;&gt;"")*(B$2:B$501=_xlfn.MAXIFS(B$2:B$501,C$2:C$501,C452,B$2:B$501,"&lt;"&amp;B452))*(I$2:I$501&lt;&gt;""),I$2:I$501))/_xlfn.XLOOKUP(1,(C$2:C$501=C452)*(B$2:B$501&lt;&gt;"")*(B$2:B$501=_xlfn.MAXIFS(B$2:B$501,C$2:C$501,C452,B$2:B$501,"&lt;"&amp;B452))*(I$2:I$501&lt;&gt;""),I$2:I$501),""))</f>
        <v/>
      </c>
    </row>
    <row r="453" spans="1:11">
      <c r="A453" t="s">
        <v>367</v>
      </c>
      <c r="B453" s="2">
        <v>46023</v>
      </c>
      <c r="C453" t="s">
        <v>43</v>
      </c>
      <c r="D453" t="s">
        <v>44</v>
      </c>
      <c r="E453" t="s">
        <v>23</v>
      </c>
      <c r="F453" s="3">
        <v>2500</v>
      </c>
      <c r="G453" s="3">
        <v>2572</v>
      </c>
      <c r="H453" s="3">
        <v>2445</v>
      </c>
      <c r="I453" s="3">
        <v>2504</v>
      </c>
      <c r="J453" s="3">
        <v>500000</v>
      </c>
      <c r="K453" s="7" t="str" cm="1">
        <f t="array" ref="K453">IF(OR(C453="",B453="",I453=""),"",IFERROR((I453-_xlfn.XLOOKUP(1,(C$2:C$501=C453)*(B$2:B$501&lt;&gt;"")*(B$2:B$501=_xlfn.MAXIFS(B$2:B$501,C$2:C$501,C453,B$2:B$501,"&lt;"&amp;B453))*(I$2:I$501&lt;&gt;""),I$2:I$501))/_xlfn.XLOOKUP(1,(C$2:C$501=C453)*(B$2:B$501&lt;&gt;"")*(B$2:B$501=_xlfn.MAXIFS(B$2:B$501,C$2:C$501,C453,B$2:B$501,"&lt;"&amp;B453))*(I$2:I$501&lt;&gt;""),I$2:I$501),""))</f>
        <v/>
      </c>
    </row>
    <row r="454" spans="1:11">
      <c r="A454" t="s">
        <v>368</v>
      </c>
      <c r="B454" s="2">
        <v>46082</v>
      </c>
      <c r="C454" t="s">
        <v>12</v>
      </c>
      <c r="D454" t="s">
        <v>13</v>
      </c>
      <c r="E454" t="s">
        <v>37</v>
      </c>
      <c r="F454" s="3"/>
      <c r="G454" s="3"/>
      <c r="H454" s="3"/>
      <c r="I454" s="3"/>
      <c r="J454" s="3">
        <v>100000</v>
      </c>
      <c r="K454" s="7" t="str" cm="1">
        <f t="array" ref="K454">IF(OR(C454="",B454="",I454=""),"",IFERROR((I454-_xlfn.XLOOKUP(1,(C$2:C$501=C454)*(B$2:B$501&lt;&gt;"")*(B$2:B$501=_xlfn.MAXIFS(B$2:B$501,C$2:C$501,C454,B$2:B$501,"&lt;"&amp;B454))*(I$2:I$501&lt;&gt;""),I$2:I$501))/_xlfn.XLOOKUP(1,(C$2:C$501=C454)*(B$2:B$501&lt;&gt;"")*(B$2:B$501=_xlfn.MAXIFS(B$2:B$501,C$2:C$501,C454,B$2:B$501,"&lt;"&amp;B454))*(I$2:I$501&lt;&gt;""),I$2:I$501),""))</f>
        <v/>
      </c>
    </row>
    <row r="455" spans="1:11">
      <c r="A455" t="s">
        <v>368</v>
      </c>
      <c r="B455" s="2">
        <v>46023</v>
      </c>
      <c r="C455" t="s">
        <v>16</v>
      </c>
      <c r="D455" t="s">
        <v>17</v>
      </c>
      <c r="E455" t="s">
        <v>18</v>
      </c>
      <c r="F455" s="3">
        <v>1000</v>
      </c>
      <c r="G455" s="3">
        <v>1055</v>
      </c>
      <c r="H455" s="3">
        <v>964</v>
      </c>
      <c r="I455" s="3">
        <v>985</v>
      </c>
      <c r="J455" s="3">
        <v>250000</v>
      </c>
      <c r="K455" s="7" t="str" cm="1">
        <f t="array" ref="K455">IF(OR(C455="",B455="",I455=""),"",IFERROR((I455-_xlfn.XLOOKUP(1,(C$2:C$501=C455)*(B$2:B$501&lt;&gt;"")*(B$2:B$501=_xlfn.MAXIFS(B$2:B$501,C$2:C$501,C455,B$2:B$501,"&lt;"&amp;B455))*(I$2:I$501&lt;&gt;""),I$2:I$501))/_xlfn.XLOOKUP(1,(C$2:C$501=C455)*(B$2:B$501&lt;&gt;"")*(B$2:B$501=_xlfn.MAXIFS(B$2:B$501,C$2:C$501,C455,B$2:B$501,"&lt;"&amp;B455))*(I$2:I$501&lt;&gt;""),I$2:I$501),""))</f>
        <v/>
      </c>
    </row>
    <row r="456" spans="1:11">
      <c r="A456" t="s">
        <v>369</v>
      </c>
      <c r="C456" t="s">
        <v>22</v>
      </c>
      <c r="D456" t="s">
        <v>22</v>
      </c>
      <c r="E456" t="s">
        <v>23</v>
      </c>
      <c r="F456" s="3">
        <v>2500</v>
      </c>
      <c r="G456" s="3">
        <v>2565</v>
      </c>
      <c r="H456" s="3">
        <v>2463</v>
      </c>
      <c r="I456" s="3">
        <v>2472</v>
      </c>
      <c r="J456" s="3">
        <v>500000</v>
      </c>
      <c r="K456" s="7" t="str" cm="1">
        <f t="array" ref="K456">IF(OR(C456="",B456="",I456=""),"",IFERROR((I456-_xlfn.XLOOKUP(1,(C$2:C$501=C456)*(B$2:B$501&lt;&gt;"")*(B$2:B$501=_xlfn.MAXIFS(B$2:B$501,C$2:C$501,C456,B$2:B$501,"&lt;"&amp;B456))*(I$2:I$501&lt;&gt;""),I$2:I$501))/_xlfn.XLOOKUP(1,(C$2:C$501=C456)*(B$2:B$501&lt;&gt;"")*(B$2:B$501=_xlfn.MAXIFS(B$2:B$501,C$2:C$501,C456,B$2:B$501,"&lt;"&amp;B456))*(I$2:I$501&lt;&gt;""),I$2:I$501),""))</f>
        <v/>
      </c>
    </row>
    <row r="457" spans="1:11">
      <c r="A457" t="s">
        <v>370</v>
      </c>
      <c r="C457" t="s">
        <v>12</v>
      </c>
      <c r="D457" t="s">
        <v>13</v>
      </c>
      <c r="E457" t="s">
        <v>37</v>
      </c>
      <c r="F457" s="3">
        <v>2500</v>
      </c>
      <c r="G457" s="3">
        <v>2519</v>
      </c>
      <c r="H457" s="3">
        <v>2447</v>
      </c>
      <c r="I457" s="3">
        <v>2538</v>
      </c>
      <c r="J457" s="3"/>
      <c r="K457" s="7" t="str" cm="1">
        <f t="array" ref="K457">IF(OR(C457="",B457="",I457=""),"",IFERROR((I457-_xlfn.XLOOKUP(1,(C$2:C$501=C457)*(B$2:B$501&lt;&gt;"")*(B$2:B$501=_xlfn.MAXIFS(B$2:B$501,C$2:C$501,C457,B$2:B$501,"&lt;"&amp;B457))*(I$2:I$501&lt;&gt;""),I$2:I$501))/_xlfn.XLOOKUP(1,(C$2:C$501=C457)*(B$2:B$501&lt;&gt;"")*(B$2:B$501=_xlfn.MAXIFS(B$2:B$501,C$2:C$501,C457,B$2:B$501,"&lt;"&amp;B457))*(I$2:I$501&lt;&gt;""),I$2:I$501),""))</f>
        <v/>
      </c>
    </row>
    <row r="458" spans="1:11">
      <c r="A458" t="s">
        <v>370</v>
      </c>
      <c r="C458" t="s">
        <v>43</v>
      </c>
      <c r="D458" t="s">
        <v>44</v>
      </c>
      <c r="E458" t="s">
        <v>23</v>
      </c>
      <c r="F458" s="3"/>
      <c r="G458" s="3"/>
      <c r="H458" s="3"/>
      <c r="I458" s="3"/>
      <c r="J458" s="3">
        <v>500000</v>
      </c>
      <c r="K458" s="7" t="str" cm="1">
        <f t="array" ref="K458">IF(OR(C458="",B458="",I458=""),"",IFERROR((I458-_xlfn.XLOOKUP(1,(C$2:C$501=C458)*(B$2:B$501&lt;&gt;"")*(B$2:B$501=_xlfn.MAXIFS(B$2:B$501,C$2:C$501,C458,B$2:B$501,"&lt;"&amp;B458))*(I$2:I$501&lt;&gt;""),I$2:I$501))/_xlfn.XLOOKUP(1,(C$2:C$501=C458)*(B$2:B$501&lt;&gt;"")*(B$2:B$501=_xlfn.MAXIFS(B$2:B$501,C$2:C$501,C458,B$2:B$501,"&lt;"&amp;B458))*(I$2:I$501&lt;&gt;""),I$2:I$501),""))</f>
        <v/>
      </c>
    </row>
    <row r="459" spans="1:11">
      <c r="A459" t="s">
        <v>371</v>
      </c>
      <c r="B459" s="2">
        <v>46054</v>
      </c>
      <c r="C459" t="s">
        <v>22</v>
      </c>
      <c r="D459" t="s">
        <v>22</v>
      </c>
      <c r="E459" t="s">
        <v>23</v>
      </c>
      <c r="F459" s="3">
        <v>3500</v>
      </c>
      <c r="G459" s="3">
        <v>3543</v>
      </c>
      <c r="H459" s="3">
        <v>3433</v>
      </c>
      <c r="I459" s="3">
        <v>3541</v>
      </c>
      <c r="J459" s="3"/>
      <c r="K459" s="7" cm="1">
        <f t="array" ref="K459">IF(OR(C459="",B459="",I459=""),"",IFERROR((I459-_xlfn.XLOOKUP(1,(C$2:C$501=C459)*(B$2:B$501&lt;&gt;"")*(B$2:B$501=_xlfn.MAXIFS(B$2:B$501,C$2:C$501,C459,B$2:B$501,"&lt;"&amp;B459))*(I$2:I$501&lt;&gt;""),I$2:I$501))/_xlfn.XLOOKUP(1,(C$2:C$501=C459)*(B$2:B$501&lt;&gt;"")*(B$2:B$501=_xlfn.MAXIFS(B$2:B$501,C$2:C$501,C459,B$2:B$501,"&lt;"&amp;B459))*(I$2:I$501&lt;&gt;""),I$2:I$501),""))</f>
        <v>2.6169560776302347</v>
      </c>
    </row>
    <row r="460" spans="1:11">
      <c r="A460" t="s">
        <v>372</v>
      </c>
      <c r="C460" t="s">
        <v>12</v>
      </c>
      <c r="D460" t="s">
        <v>13</v>
      </c>
      <c r="E460" t="s">
        <v>37</v>
      </c>
      <c r="F460" s="3">
        <v>3500</v>
      </c>
      <c r="G460" s="3">
        <v>3510</v>
      </c>
      <c r="H460" s="3">
        <v>3455</v>
      </c>
      <c r="I460" s="3">
        <v>3455</v>
      </c>
      <c r="J460" s="3"/>
      <c r="K460" s="7" t="str" cm="1">
        <f t="array" ref="K460">IF(OR(C460="",B460="",I460=""),"",IFERROR((I460-_xlfn.XLOOKUP(1,(C$2:C$501=C460)*(B$2:B$501&lt;&gt;"")*(B$2:B$501=_xlfn.MAXIFS(B$2:B$501,C$2:C$501,C460,B$2:B$501,"&lt;"&amp;B460))*(I$2:I$501&lt;&gt;""),I$2:I$501))/_xlfn.XLOOKUP(1,(C$2:C$501=C460)*(B$2:B$501&lt;&gt;"")*(B$2:B$501=_xlfn.MAXIFS(B$2:B$501,C$2:C$501,C460,B$2:B$501,"&lt;"&amp;B460))*(I$2:I$501&lt;&gt;""),I$2:I$501),""))</f>
        <v/>
      </c>
    </row>
    <row r="461" spans="1:11">
      <c r="A461" t="s">
        <v>373</v>
      </c>
      <c r="C461" t="s">
        <v>43</v>
      </c>
      <c r="D461" t="s">
        <v>44</v>
      </c>
      <c r="E461" t="s">
        <v>23</v>
      </c>
      <c r="F461" s="3">
        <v>1000</v>
      </c>
      <c r="G461" s="3">
        <v>1092</v>
      </c>
      <c r="H461" s="3">
        <v>953</v>
      </c>
      <c r="I461" s="3">
        <v>979</v>
      </c>
      <c r="J461" s="3">
        <v>250000</v>
      </c>
      <c r="K461" s="7" t="str" cm="1">
        <f t="array" ref="K461">IF(OR(C461="",B461="",I461=""),"",IFERROR((I461-_xlfn.XLOOKUP(1,(C$2:C$501=C461)*(B$2:B$501&lt;&gt;"")*(B$2:B$501=_xlfn.MAXIFS(B$2:B$501,C$2:C$501,C461,B$2:B$501,"&lt;"&amp;B461))*(I$2:I$501&lt;&gt;""),I$2:I$501))/_xlfn.XLOOKUP(1,(C$2:C$501=C461)*(B$2:B$501&lt;&gt;"")*(B$2:B$501=_xlfn.MAXIFS(B$2:B$501,C$2:C$501,C461,B$2:B$501,"&lt;"&amp;B461))*(I$2:I$501&lt;&gt;""),I$2:I$501),""))</f>
        <v/>
      </c>
    </row>
    <row r="462" spans="1:11">
      <c r="A462" t="s">
        <v>374</v>
      </c>
      <c r="C462" t="s">
        <v>26</v>
      </c>
      <c r="D462" t="s">
        <v>27</v>
      </c>
      <c r="E462" t="s">
        <v>28</v>
      </c>
      <c r="F462" s="3"/>
      <c r="G462" s="3"/>
      <c r="H462" s="3"/>
      <c r="I462" s="3"/>
      <c r="J462" s="3">
        <v>250000</v>
      </c>
      <c r="K462" s="7" t="str" cm="1">
        <f t="array" ref="K462">IF(OR(C462="",B462="",I462=""),"",IFERROR((I462-_xlfn.XLOOKUP(1,(C$2:C$501=C462)*(B$2:B$501&lt;&gt;"")*(B$2:B$501=_xlfn.MAXIFS(B$2:B$501,C$2:C$501,C462,B$2:B$501,"&lt;"&amp;B462))*(I$2:I$501&lt;&gt;""),I$2:I$501))/_xlfn.XLOOKUP(1,(C$2:C$501=C462)*(B$2:B$501&lt;&gt;"")*(B$2:B$501=_xlfn.MAXIFS(B$2:B$501,C$2:C$501,C462,B$2:B$501,"&lt;"&amp;B462))*(I$2:I$501&lt;&gt;""),I$2:I$501),""))</f>
        <v/>
      </c>
    </row>
    <row r="463" spans="1:11">
      <c r="A463" t="s">
        <v>375</v>
      </c>
      <c r="B463" s="2">
        <v>46023</v>
      </c>
      <c r="C463" t="s">
        <v>16</v>
      </c>
      <c r="D463" t="s">
        <v>17</v>
      </c>
      <c r="E463" t="s">
        <v>18</v>
      </c>
      <c r="F463" s="3">
        <v>3500</v>
      </c>
      <c r="G463" s="3">
        <v>3567</v>
      </c>
      <c r="H463" s="3">
        <v>3469</v>
      </c>
      <c r="I463" s="3">
        <v>3476</v>
      </c>
      <c r="J463" s="3">
        <v>250000</v>
      </c>
      <c r="K463" s="7" t="str" cm="1">
        <f t="array" ref="K463">IF(OR(C463="",B463="",I463=""),"",IFERROR((I463-_xlfn.XLOOKUP(1,(C$2:C$501=C463)*(B$2:B$501&lt;&gt;"")*(B$2:B$501=_xlfn.MAXIFS(B$2:B$501,C$2:C$501,C463,B$2:B$501,"&lt;"&amp;B463))*(I$2:I$501&lt;&gt;""),I$2:I$501))/_xlfn.XLOOKUP(1,(C$2:C$501=C463)*(B$2:B$501&lt;&gt;"")*(B$2:B$501=_xlfn.MAXIFS(B$2:B$501,C$2:C$501,C463,B$2:B$501,"&lt;"&amp;B463))*(I$2:I$501&lt;&gt;""),I$2:I$501),""))</f>
        <v/>
      </c>
    </row>
    <row r="464" spans="1:11">
      <c r="A464" t="s">
        <v>375</v>
      </c>
      <c r="B464" s="2">
        <v>46023</v>
      </c>
      <c r="C464" t="s">
        <v>22</v>
      </c>
      <c r="D464" t="s">
        <v>22</v>
      </c>
      <c r="E464" t="s">
        <v>23</v>
      </c>
      <c r="F464" s="3">
        <v>2500</v>
      </c>
      <c r="G464" s="3">
        <v>2587</v>
      </c>
      <c r="H464" s="3">
        <v>2436</v>
      </c>
      <c r="I464" s="3">
        <v>2544</v>
      </c>
      <c r="J464" s="3">
        <v>500000</v>
      </c>
      <c r="K464" s="7" t="str" cm="1">
        <f t="array" ref="K464">IF(OR(C464="",B464="",I464=""),"",IFERROR((I464-_xlfn.XLOOKUP(1,(C$2:C$501=C464)*(B$2:B$501&lt;&gt;"")*(B$2:B$501=_xlfn.MAXIFS(B$2:B$501,C$2:C$501,C464,B$2:B$501,"&lt;"&amp;B464))*(I$2:I$501&lt;&gt;""),I$2:I$501))/_xlfn.XLOOKUP(1,(C$2:C$501=C464)*(B$2:B$501&lt;&gt;"")*(B$2:B$501=_xlfn.MAXIFS(B$2:B$501,C$2:C$501,C464,B$2:B$501,"&lt;"&amp;B464))*(I$2:I$501&lt;&gt;""),I$2:I$501),""))</f>
        <v/>
      </c>
    </row>
    <row r="465" spans="1:11">
      <c r="A465" t="s">
        <v>376</v>
      </c>
      <c r="B465" s="2">
        <v>46054</v>
      </c>
      <c r="C465" t="s">
        <v>22</v>
      </c>
      <c r="D465" t="s">
        <v>22</v>
      </c>
      <c r="E465" t="s">
        <v>23</v>
      </c>
      <c r="F465" s="3">
        <v>2500</v>
      </c>
      <c r="G465" s="3">
        <v>2583</v>
      </c>
      <c r="H465" s="3">
        <v>2459</v>
      </c>
      <c r="I465" s="3">
        <v>2515</v>
      </c>
      <c r="J465" s="3">
        <v>250000</v>
      </c>
      <c r="K465" s="7" cm="1">
        <f t="array" ref="K465">IF(OR(C465="",B465="",I465=""),"",IFERROR((I465-_xlfn.XLOOKUP(1,(C$2:C$501=C465)*(B$2:B$501&lt;&gt;"")*(B$2:B$501=_xlfn.MAXIFS(B$2:B$501,C$2:C$501,C465,B$2:B$501,"&lt;"&amp;B465))*(I$2:I$501&lt;&gt;""),I$2:I$501))/_xlfn.XLOOKUP(1,(C$2:C$501=C465)*(B$2:B$501&lt;&gt;"")*(B$2:B$501=_xlfn.MAXIFS(B$2:B$501,C$2:C$501,C465,B$2:B$501,"&lt;"&amp;B465))*(I$2:I$501&lt;&gt;""),I$2:I$501),""))</f>
        <v>1.5689479060265576</v>
      </c>
    </row>
    <row r="466" spans="1:11">
      <c r="A466" t="s">
        <v>377</v>
      </c>
      <c r="B466" s="2">
        <v>46054</v>
      </c>
      <c r="C466" t="s">
        <v>16</v>
      </c>
      <c r="D466" t="s">
        <v>17</v>
      </c>
      <c r="E466" t="s">
        <v>18</v>
      </c>
      <c r="F466" s="3">
        <v>2500</v>
      </c>
      <c r="G466" s="3">
        <v>2531</v>
      </c>
      <c r="H466" s="3">
        <v>2453</v>
      </c>
      <c r="I466" s="3">
        <v>2541</v>
      </c>
      <c r="J466" s="3">
        <v>100000</v>
      </c>
      <c r="K466" s="7" cm="1">
        <f t="array" ref="K466">IF(OR(C466="",B466="",I466=""),"",IFERROR((I466-_xlfn.XLOOKUP(1,(C$2:C$501=C466)*(B$2:B$501&lt;&gt;"")*(B$2:B$501=_xlfn.MAXIFS(B$2:B$501,C$2:C$501,C466,B$2:B$501,"&lt;"&amp;B466))*(I$2:I$501&lt;&gt;""),I$2:I$501))/_xlfn.XLOOKUP(1,(C$2:C$501=C466)*(B$2:B$501&lt;&gt;"")*(B$2:B$501=_xlfn.MAXIFS(B$2:B$501,C$2:C$501,C466,B$2:B$501,"&lt;"&amp;B466))*(I$2:I$501&lt;&gt;""),I$2:I$501),""))</f>
        <v>2.501008471157725E-2</v>
      </c>
    </row>
    <row r="467" spans="1:11">
      <c r="A467" t="s">
        <v>378</v>
      </c>
      <c r="C467" t="s">
        <v>22</v>
      </c>
      <c r="D467" t="s">
        <v>22</v>
      </c>
      <c r="E467" t="s">
        <v>23</v>
      </c>
      <c r="F467" s="3">
        <v>2500</v>
      </c>
      <c r="G467" s="3">
        <v>2559</v>
      </c>
      <c r="H467" s="3">
        <v>2473</v>
      </c>
      <c r="I467" s="3">
        <v>2451</v>
      </c>
      <c r="J467" s="3"/>
      <c r="K467" s="7" t="str" cm="1">
        <f t="array" ref="K467">IF(OR(C467="",B467="",I467=""),"",IFERROR((I467-_xlfn.XLOOKUP(1,(C$2:C$501=C467)*(B$2:B$501&lt;&gt;"")*(B$2:B$501=_xlfn.MAXIFS(B$2:B$501,C$2:C$501,C467,B$2:B$501,"&lt;"&amp;B467))*(I$2:I$501&lt;&gt;""),I$2:I$501))/_xlfn.XLOOKUP(1,(C$2:C$501=C467)*(B$2:B$501&lt;&gt;"")*(B$2:B$501=_xlfn.MAXIFS(B$2:B$501,C$2:C$501,C467,B$2:B$501,"&lt;"&amp;B467))*(I$2:I$501&lt;&gt;""),I$2:I$501),""))</f>
        <v/>
      </c>
    </row>
    <row r="468" spans="1:11">
      <c r="A468" t="s">
        <v>379</v>
      </c>
      <c r="B468" s="2">
        <v>46054</v>
      </c>
      <c r="C468" t="s">
        <v>22</v>
      </c>
      <c r="D468" t="s">
        <v>22</v>
      </c>
      <c r="E468" t="s">
        <v>23</v>
      </c>
      <c r="F468" s="3"/>
      <c r="G468" s="3"/>
      <c r="H468" s="3"/>
      <c r="I468" s="3"/>
      <c r="J468" s="3"/>
      <c r="K468" s="7" t="str" cm="1">
        <f t="array" ref="K468">IF(OR(C468="",B468="",I468=""),"",IFERROR((I468-_xlfn.XLOOKUP(1,(C$2:C$501=C468)*(B$2:B$501&lt;&gt;"")*(B$2:B$501=_xlfn.MAXIFS(B$2:B$501,C$2:C$501,C468,B$2:B$501,"&lt;"&amp;B468))*(I$2:I$501&lt;&gt;""),I$2:I$501))/_xlfn.XLOOKUP(1,(C$2:C$501=C468)*(B$2:B$501&lt;&gt;"")*(B$2:B$501=_xlfn.MAXIFS(B$2:B$501,C$2:C$501,C468,B$2:B$501,"&lt;"&amp;B468))*(I$2:I$501&lt;&gt;""),I$2:I$501),""))</f>
        <v/>
      </c>
    </row>
    <row r="469" spans="1:11">
      <c r="A469" t="s">
        <v>380</v>
      </c>
      <c r="B469" s="2">
        <v>46054</v>
      </c>
      <c r="C469" t="s">
        <v>43</v>
      </c>
      <c r="D469" t="s">
        <v>44</v>
      </c>
      <c r="E469" t="s">
        <v>23</v>
      </c>
      <c r="F469" s="3">
        <v>2500</v>
      </c>
      <c r="G469" s="3">
        <v>2543</v>
      </c>
      <c r="H469" s="3">
        <v>2448</v>
      </c>
      <c r="I469" s="3">
        <v>2479</v>
      </c>
      <c r="J469" s="3">
        <v>250000</v>
      </c>
      <c r="K469" s="7" cm="1">
        <f t="array" ref="K469">IF(OR(C469="",B469="",I469=""),"",IFERROR((I469-_xlfn.XLOOKUP(1,(C$2:C$501=C469)*(B$2:B$501&lt;&gt;"")*(B$2:B$501=_xlfn.MAXIFS(B$2:B$501,C$2:C$501,C469,B$2:B$501,"&lt;"&amp;B469))*(I$2:I$501&lt;&gt;""),I$2:I$501))/_xlfn.XLOOKUP(1,(C$2:C$501=C469)*(B$2:B$501&lt;&gt;"")*(B$2:B$501=_xlfn.MAXIFS(B$2:B$501,C$2:C$501,C469,B$2:B$501,"&lt;"&amp;B469))*(I$2:I$501&lt;&gt;""),I$2:I$501),""))</f>
        <v>-2.414486921529175E-3</v>
      </c>
    </row>
    <row r="470" spans="1:11">
      <c r="A470" t="s">
        <v>380</v>
      </c>
      <c r="B470" s="2">
        <v>46082</v>
      </c>
      <c r="C470" t="s">
        <v>43</v>
      </c>
      <c r="D470" t="s">
        <v>44</v>
      </c>
      <c r="E470" t="s">
        <v>23</v>
      </c>
      <c r="F470" s="3"/>
      <c r="G470" s="3"/>
      <c r="H470" s="3"/>
      <c r="I470" s="3"/>
      <c r="J470" s="3">
        <v>500000</v>
      </c>
      <c r="K470" s="7" t="str" cm="1">
        <f t="array" ref="K470">IF(OR(C470="",B470="",I470=""),"",IFERROR((I470-_xlfn.XLOOKUP(1,(C$2:C$501=C470)*(B$2:B$501&lt;&gt;"")*(B$2:B$501=_xlfn.MAXIFS(B$2:B$501,C$2:C$501,C470,B$2:B$501,"&lt;"&amp;B470))*(I$2:I$501&lt;&gt;""),I$2:I$501))/_xlfn.XLOOKUP(1,(C$2:C$501=C470)*(B$2:B$501&lt;&gt;"")*(B$2:B$501=_xlfn.MAXIFS(B$2:B$501,C$2:C$501,C470,B$2:B$501,"&lt;"&amp;B470))*(I$2:I$501&lt;&gt;""),I$2:I$501),""))</f>
        <v/>
      </c>
    </row>
    <row r="471" spans="1:11">
      <c r="A471" t="s">
        <v>381</v>
      </c>
      <c r="C471" t="s">
        <v>16</v>
      </c>
      <c r="D471" t="s">
        <v>17</v>
      </c>
      <c r="E471" t="s">
        <v>18</v>
      </c>
      <c r="F471" s="3">
        <v>2500</v>
      </c>
      <c r="G471" s="3">
        <v>2587</v>
      </c>
      <c r="H471" s="3">
        <v>2428</v>
      </c>
      <c r="I471" s="3">
        <v>2463</v>
      </c>
      <c r="J471" s="3"/>
      <c r="K471" s="7" t="str" cm="1">
        <f t="array" ref="K471">IF(OR(C471="",B471="",I471=""),"",IFERROR((I471-_xlfn.XLOOKUP(1,(C$2:C$501=C471)*(B$2:B$501&lt;&gt;"")*(B$2:B$501=_xlfn.MAXIFS(B$2:B$501,C$2:C$501,C471,B$2:B$501,"&lt;"&amp;B471))*(I$2:I$501&lt;&gt;""),I$2:I$501))/_xlfn.XLOOKUP(1,(C$2:C$501=C471)*(B$2:B$501&lt;&gt;"")*(B$2:B$501=_xlfn.MAXIFS(B$2:B$501,C$2:C$501,C471,B$2:B$501,"&lt;"&amp;B471))*(I$2:I$501&lt;&gt;""),I$2:I$501),""))</f>
        <v/>
      </c>
    </row>
    <row r="472" spans="1:11">
      <c r="A472" t="s">
        <v>382</v>
      </c>
      <c r="B472" s="2">
        <v>46082</v>
      </c>
      <c r="C472" t="s">
        <v>22</v>
      </c>
      <c r="D472" t="s">
        <v>22</v>
      </c>
      <c r="E472" t="s">
        <v>23</v>
      </c>
      <c r="F472" s="3"/>
      <c r="G472" s="3"/>
      <c r="H472" s="3"/>
      <c r="I472" s="3"/>
      <c r="J472" s="3">
        <v>100000</v>
      </c>
      <c r="K472" s="7" t="str" cm="1">
        <f t="array" ref="K472">IF(OR(C472="",B472="",I472=""),"",IFERROR((I472-_xlfn.XLOOKUP(1,(C$2:C$501=C472)*(B$2:B$501&lt;&gt;"")*(B$2:B$501=_xlfn.MAXIFS(B$2:B$501,C$2:C$501,C472,B$2:B$501,"&lt;"&amp;B472))*(I$2:I$501&lt;&gt;""),I$2:I$501))/_xlfn.XLOOKUP(1,(C$2:C$501=C472)*(B$2:B$501&lt;&gt;"")*(B$2:B$501=_xlfn.MAXIFS(B$2:B$501,C$2:C$501,C472,B$2:B$501,"&lt;"&amp;B472))*(I$2:I$501&lt;&gt;""),I$2:I$501),""))</f>
        <v/>
      </c>
    </row>
    <row r="473" spans="1:11">
      <c r="A473" t="s">
        <v>382</v>
      </c>
      <c r="B473" s="2">
        <v>46023</v>
      </c>
      <c r="C473" t="s">
        <v>22</v>
      </c>
      <c r="D473" t="s">
        <v>22</v>
      </c>
      <c r="E473" t="s">
        <v>23</v>
      </c>
      <c r="F473" s="3">
        <v>2500</v>
      </c>
      <c r="G473" s="3">
        <v>2531</v>
      </c>
      <c r="H473" s="3">
        <v>2449</v>
      </c>
      <c r="I473" s="3">
        <v>2456</v>
      </c>
      <c r="J473" s="3">
        <v>100000</v>
      </c>
      <c r="K473" s="7" t="str" cm="1">
        <f t="array" ref="K473">IF(OR(C473="",B473="",I473=""),"",IFERROR((I473-_xlfn.XLOOKUP(1,(C$2:C$501=C473)*(B$2:B$501&lt;&gt;"")*(B$2:B$501=_xlfn.MAXIFS(B$2:B$501,C$2:C$501,C473,B$2:B$501,"&lt;"&amp;B473))*(I$2:I$501&lt;&gt;""),I$2:I$501))/_xlfn.XLOOKUP(1,(C$2:C$501=C473)*(B$2:B$501&lt;&gt;"")*(B$2:B$501=_xlfn.MAXIFS(B$2:B$501,C$2:C$501,C473,B$2:B$501,"&lt;"&amp;B473))*(I$2:I$501&lt;&gt;""),I$2:I$501),""))</f>
        <v/>
      </c>
    </row>
    <row r="474" spans="1:11">
      <c r="A474" t="s">
        <v>383</v>
      </c>
      <c r="B474" s="2">
        <v>46023</v>
      </c>
      <c r="C474" t="s">
        <v>26</v>
      </c>
      <c r="D474" t="s">
        <v>27</v>
      </c>
      <c r="E474" t="s">
        <v>28</v>
      </c>
      <c r="F474" s="3">
        <v>2500</v>
      </c>
      <c r="G474" s="3">
        <v>2551</v>
      </c>
      <c r="H474" s="3">
        <v>2477</v>
      </c>
      <c r="I474" s="3">
        <v>2509</v>
      </c>
      <c r="J474" s="3">
        <v>250000</v>
      </c>
      <c r="K474" s="7" t="str" cm="1">
        <f t="array" ref="K474">IF(OR(C474="",B474="",I474=""),"",IFERROR((I474-_xlfn.XLOOKUP(1,(C$2:C$501=C474)*(B$2:B$501&lt;&gt;"")*(B$2:B$501=_xlfn.MAXIFS(B$2:B$501,C$2:C$501,C474,B$2:B$501,"&lt;"&amp;B474))*(I$2:I$501&lt;&gt;""),I$2:I$501))/_xlfn.XLOOKUP(1,(C$2:C$501=C474)*(B$2:B$501&lt;&gt;"")*(B$2:B$501=_xlfn.MAXIFS(B$2:B$501,C$2:C$501,C474,B$2:B$501,"&lt;"&amp;B474))*(I$2:I$501&lt;&gt;""),I$2:I$501),""))</f>
        <v/>
      </c>
    </row>
    <row r="475" spans="1:11">
      <c r="A475" t="s">
        <v>383</v>
      </c>
      <c r="B475" s="2">
        <v>46023</v>
      </c>
      <c r="C475" t="s">
        <v>22</v>
      </c>
      <c r="D475" t="s">
        <v>22</v>
      </c>
      <c r="E475" t="s">
        <v>23</v>
      </c>
      <c r="F475" s="3">
        <v>1000</v>
      </c>
      <c r="G475" s="3">
        <v>1034</v>
      </c>
      <c r="H475" s="3">
        <v>989</v>
      </c>
      <c r="I475" s="3">
        <v>994</v>
      </c>
      <c r="J475" s="3">
        <v>100000</v>
      </c>
      <c r="K475" s="7" t="str" cm="1">
        <f t="array" ref="K475">IF(OR(C475="",B475="",I475=""),"",IFERROR((I475-_xlfn.XLOOKUP(1,(C$2:C$501=C475)*(B$2:B$501&lt;&gt;"")*(B$2:B$501=_xlfn.MAXIFS(B$2:B$501,C$2:C$501,C475,B$2:B$501,"&lt;"&amp;B475))*(I$2:I$501&lt;&gt;""),I$2:I$501))/_xlfn.XLOOKUP(1,(C$2:C$501=C475)*(B$2:B$501&lt;&gt;"")*(B$2:B$501=_xlfn.MAXIFS(B$2:B$501,C$2:C$501,C475,B$2:B$501,"&lt;"&amp;B475))*(I$2:I$501&lt;&gt;""),I$2:I$501),""))</f>
        <v/>
      </c>
    </row>
    <row r="476" spans="1:11">
      <c r="A476" t="s">
        <v>384</v>
      </c>
      <c r="B476" s="2">
        <v>46082</v>
      </c>
      <c r="C476" t="s">
        <v>16</v>
      </c>
      <c r="D476" t="s">
        <v>17</v>
      </c>
      <c r="E476" t="s">
        <v>18</v>
      </c>
      <c r="F476" s="3">
        <v>3500</v>
      </c>
      <c r="G476" s="3">
        <v>3566</v>
      </c>
      <c r="H476" s="3">
        <v>3490</v>
      </c>
      <c r="I476" s="3">
        <v>3452</v>
      </c>
      <c r="J476" s="3">
        <v>100000</v>
      </c>
      <c r="K476" s="7" cm="1">
        <f t="array" ref="K476">IF(OR(C476="",B476="",I476=""),"",IFERROR((I476-_xlfn.XLOOKUP(1,(C$2:C$501=C476)*(B$2:B$501&lt;&gt;"")*(B$2:B$501=_xlfn.MAXIFS(B$2:B$501,C$2:C$501,C476,B$2:B$501,"&lt;"&amp;B476))*(I$2:I$501&lt;&gt;""),I$2:I$501))/_xlfn.XLOOKUP(1,(C$2:C$501=C476)*(B$2:B$501&lt;&gt;"")*(B$2:B$501=_xlfn.MAXIFS(B$2:B$501,C$2:C$501,C476,B$2:B$501,"&lt;"&amp;B476))*(I$2:I$501&lt;&gt;""),I$2:I$501),""))</f>
        <v>-5.4739268222414291E-3</v>
      </c>
    </row>
    <row r="477" spans="1:11">
      <c r="A477" t="s">
        <v>385</v>
      </c>
      <c r="C477" t="s">
        <v>22</v>
      </c>
      <c r="D477" t="s">
        <v>22</v>
      </c>
      <c r="E477" t="s">
        <v>23</v>
      </c>
      <c r="F477" s="3">
        <v>2500</v>
      </c>
      <c r="G477" s="3">
        <v>2522</v>
      </c>
      <c r="H477" s="3">
        <v>2450</v>
      </c>
      <c r="I477" s="3">
        <v>2495</v>
      </c>
      <c r="J477" s="3">
        <v>100000</v>
      </c>
      <c r="K477" s="7" t="str" cm="1">
        <f t="array" ref="K477">IF(OR(C477="",B477="",I477=""),"",IFERROR((I477-_xlfn.XLOOKUP(1,(C$2:C$501=C477)*(B$2:B$501&lt;&gt;"")*(B$2:B$501=_xlfn.MAXIFS(B$2:B$501,C$2:C$501,C477,B$2:B$501,"&lt;"&amp;B477))*(I$2:I$501&lt;&gt;""),I$2:I$501))/_xlfn.XLOOKUP(1,(C$2:C$501=C477)*(B$2:B$501&lt;&gt;"")*(B$2:B$501=_xlfn.MAXIFS(B$2:B$501,C$2:C$501,C477,B$2:B$501,"&lt;"&amp;B477))*(I$2:I$501&lt;&gt;""),I$2:I$501),""))</f>
        <v/>
      </c>
    </row>
    <row r="478" spans="1:11">
      <c r="A478" t="s">
        <v>386</v>
      </c>
      <c r="B478" s="2">
        <v>46054</v>
      </c>
      <c r="C478" t="s">
        <v>43</v>
      </c>
      <c r="D478" t="s">
        <v>44</v>
      </c>
      <c r="E478" t="s">
        <v>23</v>
      </c>
      <c r="F478" s="3">
        <v>3500</v>
      </c>
      <c r="G478" s="3">
        <v>3578</v>
      </c>
      <c r="H478" s="3">
        <v>3463</v>
      </c>
      <c r="I478" s="3">
        <v>3532</v>
      </c>
      <c r="J478" s="3">
        <v>100000</v>
      </c>
      <c r="K478" s="7" cm="1">
        <f t="array" ref="K478">IF(OR(C478="",B478="",I478=""),"",IFERROR((I478-_xlfn.XLOOKUP(1,(C$2:C$501=C478)*(B$2:B$501&lt;&gt;"")*(B$2:B$501=_xlfn.MAXIFS(B$2:B$501,C$2:C$501,C478,B$2:B$501,"&lt;"&amp;B478))*(I$2:I$501&lt;&gt;""),I$2:I$501))/_xlfn.XLOOKUP(1,(C$2:C$501=C478)*(B$2:B$501&lt;&gt;"")*(B$2:B$501=_xlfn.MAXIFS(B$2:B$501,C$2:C$501,C478,B$2:B$501,"&lt;"&amp;B478))*(I$2:I$501&lt;&gt;""),I$2:I$501),""))</f>
        <v>0.42132796780684106</v>
      </c>
    </row>
    <row r="479" spans="1:11">
      <c r="A479" t="s">
        <v>386</v>
      </c>
      <c r="C479" t="s">
        <v>12</v>
      </c>
      <c r="D479" t="s">
        <v>13</v>
      </c>
      <c r="E479" t="s">
        <v>37</v>
      </c>
      <c r="F479" s="3">
        <v>1000</v>
      </c>
      <c r="G479" s="3">
        <v>1091</v>
      </c>
      <c r="H479" s="3">
        <v>990</v>
      </c>
      <c r="I479" s="3">
        <v>983</v>
      </c>
      <c r="J479" s="3">
        <v>500000</v>
      </c>
      <c r="K479" s="7" t="str" cm="1">
        <f t="array" ref="K479">IF(OR(C479="",B479="",I479=""),"",IFERROR((I479-_xlfn.XLOOKUP(1,(C$2:C$501=C479)*(B$2:B$501&lt;&gt;"")*(B$2:B$501=_xlfn.MAXIFS(B$2:B$501,C$2:C$501,C479,B$2:B$501,"&lt;"&amp;B479))*(I$2:I$501&lt;&gt;""),I$2:I$501))/_xlfn.XLOOKUP(1,(C$2:C$501=C479)*(B$2:B$501&lt;&gt;"")*(B$2:B$501=_xlfn.MAXIFS(B$2:B$501,C$2:C$501,C479,B$2:B$501,"&lt;"&amp;B479))*(I$2:I$501&lt;&gt;""),I$2:I$501),""))</f>
        <v/>
      </c>
    </row>
    <row r="480" spans="1:11">
      <c r="A480" t="s">
        <v>387</v>
      </c>
      <c r="B480" s="2">
        <v>46082</v>
      </c>
      <c r="C480" t="s">
        <v>43</v>
      </c>
      <c r="D480" t="s">
        <v>44</v>
      </c>
      <c r="E480" t="s">
        <v>23</v>
      </c>
      <c r="F480" s="3"/>
      <c r="G480" s="3"/>
      <c r="H480" s="3"/>
      <c r="I480" s="3"/>
      <c r="J480" s="3">
        <v>500000</v>
      </c>
      <c r="K480" s="7" t="str" cm="1">
        <f t="array" ref="K480">IF(OR(C480="",B480="",I480=""),"",IFERROR((I480-_xlfn.XLOOKUP(1,(C$2:C$501=C480)*(B$2:B$501&lt;&gt;"")*(B$2:B$501=_xlfn.MAXIFS(B$2:B$501,C$2:C$501,C480,B$2:B$501,"&lt;"&amp;B480))*(I$2:I$501&lt;&gt;""),I$2:I$501))/_xlfn.XLOOKUP(1,(C$2:C$501=C480)*(B$2:B$501&lt;&gt;"")*(B$2:B$501=_xlfn.MAXIFS(B$2:B$501,C$2:C$501,C480,B$2:B$501,"&lt;"&amp;B480))*(I$2:I$501&lt;&gt;""),I$2:I$501),""))</f>
        <v/>
      </c>
    </row>
    <row r="481" spans="1:11">
      <c r="A481" t="s">
        <v>388</v>
      </c>
      <c r="C481" t="s">
        <v>26</v>
      </c>
      <c r="D481" t="s">
        <v>27</v>
      </c>
      <c r="E481" t="s">
        <v>28</v>
      </c>
      <c r="F481" s="3"/>
      <c r="G481" s="3"/>
      <c r="H481" s="3"/>
      <c r="I481" s="3"/>
      <c r="J481" s="3">
        <v>100000</v>
      </c>
      <c r="K481" s="7" t="str" cm="1">
        <f t="array" ref="K481">IF(OR(C481="",B481="",I481=""),"",IFERROR((I481-_xlfn.XLOOKUP(1,(C$2:C$501=C481)*(B$2:B$501&lt;&gt;"")*(B$2:B$501=_xlfn.MAXIFS(B$2:B$501,C$2:C$501,C481,B$2:B$501,"&lt;"&amp;B481))*(I$2:I$501&lt;&gt;""),I$2:I$501))/_xlfn.XLOOKUP(1,(C$2:C$501=C481)*(B$2:B$501&lt;&gt;"")*(B$2:B$501=_xlfn.MAXIFS(B$2:B$501,C$2:C$501,C481,B$2:B$501,"&lt;"&amp;B481))*(I$2:I$501&lt;&gt;""),I$2:I$501),""))</f>
        <v/>
      </c>
    </row>
    <row r="482" spans="1:11">
      <c r="A482" t="s">
        <v>388</v>
      </c>
      <c r="B482" s="2">
        <v>46082</v>
      </c>
      <c r="C482" t="s">
        <v>26</v>
      </c>
      <c r="D482" t="s">
        <v>27</v>
      </c>
      <c r="E482" t="s">
        <v>28</v>
      </c>
      <c r="F482" s="3">
        <v>1000</v>
      </c>
      <c r="G482" s="3">
        <v>1052</v>
      </c>
      <c r="H482" s="3">
        <v>929</v>
      </c>
      <c r="I482" s="3">
        <v>1033</v>
      </c>
      <c r="J482" s="3">
        <v>100000</v>
      </c>
      <c r="K482" s="7" cm="1">
        <f t="array" ref="K482">IF(OR(C482="",B482="",I482=""),"",IFERROR((I482-_xlfn.XLOOKUP(1,(C$2:C$501=C482)*(B$2:B$501&lt;&gt;"")*(B$2:B$501=_xlfn.MAXIFS(B$2:B$501,C$2:C$501,C482,B$2:B$501,"&lt;"&amp;B482))*(I$2:I$501&lt;&gt;""),I$2:I$501))/_xlfn.XLOOKUP(1,(C$2:C$501=C482)*(B$2:B$501&lt;&gt;"")*(B$2:B$501=_xlfn.MAXIFS(B$2:B$501,C$2:C$501,C482,B$2:B$501,"&lt;"&amp;B482))*(I$2:I$501&lt;&gt;""),I$2:I$501),""))</f>
        <v>-0.70736543909348437</v>
      </c>
    </row>
    <row r="483" spans="1:11">
      <c r="A483" t="s">
        <v>389</v>
      </c>
      <c r="B483" s="2">
        <v>46054</v>
      </c>
      <c r="C483" t="s">
        <v>26</v>
      </c>
      <c r="D483" t="s">
        <v>27</v>
      </c>
      <c r="E483" t="s">
        <v>28</v>
      </c>
      <c r="F483" s="3"/>
      <c r="G483" s="3"/>
      <c r="H483" s="3"/>
      <c r="I483" s="3"/>
      <c r="J483" s="3">
        <v>250000</v>
      </c>
      <c r="K483" s="7" t="str" cm="1">
        <f t="array" ref="K483">IF(OR(C483="",B483="",I483=""),"",IFERROR((I483-_xlfn.XLOOKUP(1,(C$2:C$501=C483)*(B$2:B$501&lt;&gt;"")*(B$2:B$501=_xlfn.MAXIFS(B$2:B$501,C$2:C$501,C483,B$2:B$501,"&lt;"&amp;B483))*(I$2:I$501&lt;&gt;""),I$2:I$501))/_xlfn.XLOOKUP(1,(C$2:C$501=C483)*(B$2:B$501&lt;&gt;"")*(B$2:B$501=_xlfn.MAXIFS(B$2:B$501,C$2:C$501,C483,B$2:B$501,"&lt;"&amp;B483))*(I$2:I$501&lt;&gt;""),I$2:I$501),""))</f>
        <v/>
      </c>
    </row>
    <row r="484" spans="1:11">
      <c r="A484" t="s">
        <v>390</v>
      </c>
      <c r="C484" t="s">
        <v>43</v>
      </c>
      <c r="D484" t="s">
        <v>44</v>
      </c>
      <c r="E484" t="s">
        <v>23</v>
      </c>
      <c r="F484" s="3">
        <v>2500</v>
      </c>
      <c r="G484" s="3">
        <v>2555</v>
      </c>
      <c r="H484" s="3">
        <v>2479</v>
      </c>
      <c r="I484" s="3">
        <v>2478</v>
      </c>
      <c r="J484" s="3">
        <v>250000</v>
      </c>
      <c r="K484" s="7" t="str" cm="1">
        <f t="array" ref="K484">IF(OR(C484="",B484="",I484=""),"",IFERROR((I484-_xlfn.XLOOKUP(1,(C$2:C$501=C484)*(B$2:B$501&lt;&gt;"")*(B$2:B$501=_xlfn.MAXIFS(B$2:B$501,C$2:C$501,C484,B$2:B$501,"&lt;"&amp;B484))*(I$2:I$501&lt;&gt;""),I$2:I$501))/_xlfn.XLOOKUP(1,(C$2:C$501=C484)*(B$2:B$501&lt;&gt;"")*(B$2:B$501=_xlfn.MAXIFS(B$2:B$501,C$2:C$501,C484,B$2:B$501,"&lt;"&amp;B484))*(I$2:I$501&lt;&gt;""),I$2:I$501),""))</f>
        <v/>
      </c>
    </row>
    <row r="485" spans="1:11">
      <c r="A485" t="s">
        <v>390</v>
      </c>
      <c r="C485" t="s">
        <v>16</v>
      </c>
      <c r="D485" t="s">
        <v>17</v>
      </c>
      <c r="E485" t="s">
        <v>18</v>
      </c>
      <c r="F485" s="3">
        <v>1000</v>
      </c>
      <c r="G485" s="3">
        <v>1079</v>
      </c>
      <c r="H485" s="3">
        <v>961</v>
      </c>
      <c r="I485" s="3">
        <v>962</v>
      </c>
      <c r="J485" s="3">
        <v>500000</v>
      </c>
      <c r="K485" s="7" t="str" cm="1">
        <f t="array" ref="K485">IF(OR(C485="",B485="",I485=""),"",IFERROR((I485-_xlfn.XLOOKUP(1,(C$2:C$501=C485)*(B$2:B$501&lt;&gt;"")*(B$2:B$501=_xlfn.MAXIFS(B$2:B$501,C$2:C$501,C485,B$2:B$501,"&lt;"&amp;B485))*(I$2:I$501&lt;&gt;""),I$2:I$501))/_xlfn.XLOOKUP(1,(C$2:C$501=C485)*(B$2:B$501&lt;&gt;"")*(B$2:B$501=_xlfn.MAXIFS(B$2:B$501,C$2:C$501,C485,B$2:B$501,"&lt;"&amp;B485))*(I$2:I$501&lt;&gt;""),I$2:I$501),""))</f>
        <v/>
      </c>
    </row>
    <row r="486" spans="1:11">
      <c r="A486" t="s">
        <v>391</v>
      </c>
      <c r="C486" t="s">
        <v>22</v>
      </c>
      <c r="D486" t="s">
        <v>22</v>
      </c>
      <c r="E486" t="s">
        <v>23</v>
      </c>
      <c r="F486" s="3"/>
      <c r="G486" s="3"/>
      <c r="H486" s="3"/>
      <c r="I486" s="3"/>
      <c r="J486" s="3">
        <v>500000</v>
      </c>
      <c r="K486" s="7" t="str" cm="1">
        <f t="array" ref="K486">IF(OR(C486="",B486="",I486=""),"",IFERROR((I486-_xlfn.XLOOKUP(1,(C$2:C$501=C486)*(B$2:B$501&lt;&gt;"")*(B$2:B$501=_xlfn.MAXIFS(B$2:B$501,C$2:C$501,C486,B$2:B$501,"&lt;"&amp;B486))*(I$2:I$501&lt;&gt;""),I$2:I$501))/_xlfn.XLOOKUP(1,(C$2:C$501=C486)*(B$2:B$501&lt;&gt;"")*(B$2:B$501=_xlfn.MAXIFS(B$2:B$501,C$2:C$501,C486,B$2:B$501,"&lt;"&amp;B486))*(I$2:I$501&lt;&gt;""),I$2:I$501),""))</f>
        <v/>
      </c>
    </row>
    <row r="487" spans="1:11">
      <c r="A487" t="s">
        <v>392</v>
      </c>
      <c r="B487" s="2">
        <v>46023</v>
      </c>
      <c r="C487" t="s">
        <v>43</v>
      </c>
      <c r="D487" t="s">
        <v>44</v>
      </c>
      <c r="E487" t="s">
        <v>23</v>
      </c>
      <c r="F487" s="3">
        <v>2500</v>
      </c>
      <c r="G487" s="3">
        <v>2549</v>
      </c>
      <c r="H487" s="3">
        <v>2481</v>
      </c>
      <c r="I487" s="3">
        <v>2550</v>
      </c>
      <c r="J487" s="3">
        <v>250000</v>
      </c>
      <c r="K487" s="7" t="str" cm="1">
        <f t="array" ref="K487">IF(OR(C487="",B487="",I487=""),"",IFERROR((I487-_xlfn.XLOOKUP(1,(C$2:C$501=C487)*(B$2:B$501&lt;&gt;"")*(B$2:B$501=_xlfn.MAXIFS(B$2:B$501,C$2:C$501,C487,B$2:B$501,"&lt;"&amp;B487))*(I$2:I$501&lt;&gt;""),I$2:I$501))/_xlfn.XLOOKUP(1,(C$2:C$501=C487)*(B$2:B$501&lt;&gt;"")*(B$2:B$501=_xlfn.MAXIFS(B$2:B$501,C$2:C$501,C487,B$2:B$501,"&lt;"&amp;B487))*(I$2:I$501&lt;&gt;""),I$2:I$501),""))</f>
        <v/>
      </c>
    </row>
    <row r="488" spans="1:11">
      <c r="A488" t="s">
        <v>392</v>
      </c>
      <c r="C488" t="s">
        <v>26</v>
      </c>
      <c r="D488" t="s">
        <v>27</v>
      </c>
      <c r="E488" t="s">
        <v>28</v>
      </c>
      <c r="F488" s="3"/>
      <c r="G488" s="3"/>
      <c r="H488" s="3"/>
      <c r="I488" s="3"/>
      <c r="J488" s="3"/>
      <c r="K488" s="7" t="str" cm="1">
        <f t="array" ref="K488">IF(OR(C488="",B488="",I488=""),"",IFERROR((I488-_xlfn.XLOOKUP(1,(C$2:C$501=C488)*(B$2:B$501&lt;&gt;"")*(B$2:B$501=_xlfn.MAXIFS(B$2:B$501,C$2:C$501,C488,B$2:B$501,"&lt;"&amp;B488))*(I$2:I$501&lt;&gt;""),I$2:I$501))/_xlfn.XLOOKUP(1,(C$2:C$501=C488)*(B$2:B$501&lt;&gt;"")*(B$2:B$501=_xlfn.MAXIFS(B$2:B$501,C$2:C$501,C488,B$2:B$501,"&lt;"&amp;B488))*(I$2:I$501&lt;&gt;""),I$2:I$501),""))</f>
        <v/>
      </c>
    </row>
    <row r="489" spans="1:11">
      <c r="A489" t="s">
        <v>393</v>
      </c>
      <c r="C489" t="s">
        <v>26</v>
      </c>
      <c r="D489" t="s">
        <v>27</v>
      </c>
      <c r="E489" t="s">
        <v>28</v>
      </c>
      <c r="F489" s="3">
        <v>2500</v>
      </c>
      <c r="G489" s="3">
        <v>2535</v>
      </c>
      <c r="H489" s="3">
        <v>2458</v>
      </c>
      <c r="I489" s="3">
        <v>2485</v>
      </c>
      <c r="J489" s="3">
        <v>100000</v>
      </c>
      <c r="K489" s="7" t="str" cm="1">
        <f t="array" ref="K489">IF(OR(C489="",B489="",I489=""),"",IFERROR((I489-_xlfn.XLOOKUP(1,(C$2:C$501=C489)*(B$2:B$501&lt;&gt;"")*(B$2:B$501=_xlfn.MAXIFS(B$2:B$501,C$2:C$501,C489,B$2:B$501,"&lt;"&amp;B489))*(I$2:I$501&lt;&gt;""),I$2:I$501))/_xlfn.XLOOKUP(1,(C$2:C$501=C489)*(B$2:B$501&lt;&gt;"")*(B$2:B$501=_xlfn.MAXIFS(B$2:B$501,C$2:C$501,C489,B$2:B$501,"&lt;"&amp;B489))*(I$2:I$501&lt;&gt;""),I$2:I$501),""))</f>
        <v/>
      </c>
    </row>
    <row r="490" spans="1:11">
      <c r="A490" t="s">
        <v>393</v>
      </c>
      <c r="B490" s="2">
        <v>46054</v>
      </c>
      <c r="C490" t="s">
        <v>16</v>
      </c>
      <c r="D490" t="s">
        <v>17</v>
      </c>
      <c r="E490" t="s">
        <v>18</v>
      </c>
      <c r="F490" s="3">
        <v>1000</v>
      </c>
      <c r="G490" s="3">
        <v>1040</v>
      </c>
      <c r="H490" s="3">
        <v>966</v>
      </c>
      <c r="I490" s="3">
        <v>1008</v>
      </c>
      <c r="J490" s="3">
        <v>250000</v>
      </c>
      <c r="K490" s="7" cm="1">
        <f t="array" ref="K490">IF(OR(C490="",B490="",I490=""),"",IFERROR((I490-_xlfn.XLOOKUP(1,(C$2:C$501=C490)*(B$2:B$501&lt;&gt;"")*(B$2:B$501=_xlfn.MAXIFS(B$2:B$501,C$2:C$501,C490,B$2:B$501,"&lt;"&amp;B490))*(I$2:I$501&lt;&gt;""),I$2:I$501))/_xlfn.XLOOKUP(1,(C$2:C$501=C490)*(B$2:B$501&lt;&gt;"")*(B$2:B$501=_xlfn.MAXIFS(B$2:B$501,C$2:C$501,C490,B$2:B$501,"&lt;"&amp;B490))*(I$2:I$501&lt;&gt;""),I$2:I$501),""))</f>
        <v>-0.59338442920532475</v>
      </c>
    </row>
    <row r="491" spans="1:11">
      <c r="A491" t="s">
        <v>394</v>
      </c>
      <c r="B491" s="2">
        <v>46082</v>
      </c>
      <c r="C491" t="s">
        <v>12</v>
      </c>
      <c r="D491" t="s">
        <v>13</v>
      </c>
      <c r="E491" t="s">
        <v>37</v>
      </c>
      <c r="F491" s="3">
        <v>2500</v>
      </c>
      <c r="G491" s="3">
        <v>2530</v>
      </c>
      <c r="H491" s="3">
        <v>2449</v>
      </c>
      <c r="I491" s="3">
        <v>2471</v>
      </c>
      <c r="J491" s="3">
        <v>500000</v>
      </c>
      <c r="K491" s="7" cm="1">
        <f t="array" ref="K491">IF(OR(C491="",B491="",I491=""),"",IFERROR((I491-_xlfn.XLOOKUP(1,(C$2:C$501=C491)*(B$2:B$501&lt;&gt;"")*(B$2:B$501=_xlfn.MAXIFS(B$2:B$501,C$2:C$501,C491,B$2:B$501,"&lt;"&amp;B491))*(I$2:I$501&lt;&gt;""),I$2:I$501))/_xlfn.XLOOKUP(1,(C$2:C$501=C491)*(B$2:B$501&lt;&gt;"")*(B$2:B$501=_xlfn.MAXIFS(B$2:B$501,C$2:C$501,C491,B$2:B$501,"&lt;"&amp;B491))*(I$2:I$501&lt;&gt;""),I$2:I$501),""))</f>
        <v>0</v>
      </c>
    </row>
    <row r="492" spans="1:11">
      <c r="A492" t="s">
        <v>395</v>
      </c>
      <c r="B492" s="2">
        <v>46023</v>
      </c>
      <c r="C492" t="s">
        <v>12</v>
      </c>
      <c r="D492" t="s">
        <v>13</v>
      </c>
      <c r="E492" t="s">
        <v>37</v>
      </c>
      <c r="F492" s="3"/>
      <c r="G492" s="3"/>
      <c r="H492" s="3"/>
      <c r="I492" s="3"/>
      <c r="J492" s="3"/>
      <c r="K492" s="7" t="str" cm="1">
        <f t="array" ref="K492">IF(OR(C492="",B492="",I492=""),"",IFERROR((I492-_xlfn.XLOOKUP(1,(C$2:C$501=C492)*(B$2:B$501&lt;&gt;"")*(B$2:B$501=_xlfn.MAXIFS(B$2:B$501,C$2:C$501,C492,B$2:B$501,"&lt;"&amp;B492))*(I$2:I$501&lt;&gt;""),I$2:I$501))/_xlfn.XLOOKUP(1,(C$2:C$501=C492)*(B$2:B$501&lt;&gt;"")*(B$2:B$501=_xlfn.MAXIFS(B$2:B$501,C$2:C$501,C492,B$2:B$501,"&lt;"&amp;B492))*(I$2:I$501&lt;&gt;""),I$2:I$501),""))</f>
        <v/>
      </c>
    </row>
    <row r="493" spans="1:11">
      <c r="A493" t="s">
        <v>396</v>
      </c>
      <c r="B493" s="2">
        <v>46023</v>
      </c>
      <c r="C493" t="s">
        <v>12</v>
      </c>
      <c r="D493" t="s">
        <v>13</v>
      </c>
      <c r="E493" t="s">
        <v>37</v>
      </c>
      <c r="F493" s="3"/>
      <c r="G493" s="3"/>
      <c r="H493" s="3"/>
      <c r="I493" s="3"/>
      <c r="J493" s="3">
        <v>100000</v>
      </c>
      <c r="K493" s="7" t="str" cm="1">
        <f t="array" ref="K493">IF(OR(C493="",B493="",I493=""),"",IFERROR((I493-_xlfn.XLOOKUP(1,(C$2:C$501=C493)*(B$2:B$501&lt;&gt;"")*(B$2:B$501=_xlfn.MAXIFS(B$2:B$501,C$2:C$501,C493,B$2:B$501,"&lt;"&amp;B493))*(I$2:I$501&lt;&gt;""),I$2:I$501))/_xlfn.XLOOKUP(1,(C$2:C$501=C493)*(B$2:B$501&lt;&gt;"")*(B$2:B$501=_xlfn.MAXIFS(B$2:B$501,C$2:C$501,C493,B$2:B$501,"&lt;"&amp;B493))*(I$2:I$501&lt;&gt;""),I$2:I$501),""))</f>
        <v/>
      </c>
    </row>
    <row r="494" spans="1:11">
      <c r="A494" t="s">
        <v>397</v>
      </c>
      <c r="B494" s="2">
        <v>46054</v>
      </c>
      <c r="C494" t="s">
        <v>22</v>
      </c>
      <c r="D494" t="s">
        <v>22</v>
      </c>
      <c r="E494" t="s">
        <v>23</v>
      </c>
      <c r="F494" s="3"/>
      <c r="G494" s="3"/>
      <c r="H494" s="3"/>
      <c r="I494" s="3"/>
      <c r="J494" s="3">
        <v>100000</v>
      </c>
      <c r="K494" s="7" t="str" cm="1">
        <f t="array" ref="K494">IF(OR(C494="",B494="",I494=""),"",IFERROR((I494-_xlfn.XLOOKUP(1,(C$2:C$501=C494)*(B$2:B$501&lt;&gt;"")*(B$2:B$501=_xlfn.MAXIFS(B$2:B$501,C$2:C$501,C494,B$2:B$501,"&lt;"&amp;B494))*(I$2:I$501&lt;&gt;""),I$2:I$501))/_xlfn.XLOOKUP(1,(C$2:C$501=C494)*(B$2:B$501&lt;&gt;"")*(B$2:B$501=_xlfn.MAXIFS(B$2:B$501,C$2:C$501,C494,B$2:B$501,"&lt;"&amp;B494))*(I$2:I$501&lt;&gt;""),I$2:I$501),""))</f>
        <v/>
      </c>
    </row>
    <row r="495" spans="1:11">
      <c r="A495" t="s">
        <v>398</v>
      </c>
      <c r="B495" s="2">
        <v>46023</v>
      </c>
      <c r="C495" t="s">
        <v>16</v>
      </c>
      <c r="D495" t="s">
        <v>17</v>
      </c>
      <c r="E495" t="s">
        <v>23</v>
      </c>
      <c r="F495" s="3">
        <v>1000</v>
      </c>
      <c r="G495" s="3">
        <v>1098</v>
      </c>
      <c r="H495" s="3">
        <v>933</v>
      </c>
      <c r="I495" s="3">
        <v>1043</v>
      </c>
      <c r="J495" s="3">
        <v>100000</v>
      </c>
      <c r="K495" s="7" t="str" cm="1">
        <f t="array" ref="K495">IF(OR(C495="",B495="",I495=""),"",IFERROR((I495-_xlfn.XLOOKUP(1,(C$2:C$501=C495)*(B$2:B$501&lt;&gt;"")*(B$2:B$501=_xlfn.MAXIFS(B$2:B$501,C$2:C$501,C495,B$2:B$501,"&lt;"&amp;B495))*(I$2:I$501&lt;&gt;""),I$2:I$501))/_xlfn.XLOOKUP(1,(C$2:C$501=C495)*(B$2:B$501&lt;&gt;"")*(B$2:B$501=_xlfn.MAXIFS(B$2:B$501,C$2:C$501,C495,B$2:B$501,"&lt;"&amp;B495))*(I$2:I$501&lt;&gt;""),I$2:I$501),""))</f>
        <v/>
      </c>
    </row>
    <row r="496" spans="1:11">
      <c r="A496" t="s">
        <v>398</v>
      </c>
      <c r="B496" s="2">
        <v>46023</v>
      </c>
      <c r="C496" t="s">
        <v>43</v>
      </c>
      <c r="D496" t="s">
        <v>44</v>
      </c>
      <c r="E496" t="s">
        <v>23</v>
      </c>
      <c r="F496" s="3">
        <v>3500</v>
      </c>
      <c r="G496" s="3">
        <v>3573</v>
      </c>
      <c r="H496" s="3">
        <v>3437</v>
      </c>
      <c r="I496" s="3">
        <v>3499</v>
      </c>
      <c r="J496" s="3">
        <v>250000</v>
      </c>
      <c r="K496" s="7" t="str" cm="1">
        <f t="array" ref="K496">IF(OR(C496="",B496="",I496=""),"",IFERROR((I496-_xlfn.XLOOKUP(1,(C$2:C$501=C496)*(B$2:B$501&lt;&gt;"")*(B$2:B$501=_xlfn.MAXIFS(B$2:B$501,C$2:C$501,C496,B$2:B$501,"&lt;"&amp;B496))*(I$2:I$501&lt;&gt;""),I$2:I$501))/_xlfn.XLOOKUP(1,(C$2:C$501=C496)*(B$2:B$501&lt;&gt;"")*(B$2:B$501=_xlfn.MAXIFS(B$2:B$501,C$2:C$501,C496,B$2:B$501,"&lt;"&amp;B496))*(I$2:I$501&lt;&gt;""),I$2:I$501),""))</f>
        <v/>
      </c>
    </row>
    <row r="497" spans="1:11">
      <c r="A497" t="s">
        <v>399</v>
      </c>
      <c r="C497" t="s">
        <v>22</v>
      </c>
      <c r="D497" t="s">
        <v>22</v>
      </c>
      <c r="E497" t="s">
        <v>23</v>
      </c>
      <c r="F497" s="3">
        <v>3500</v>
      </c>
      <c r="G497" s="3">
        <v>3543</v>
      </c>
      <c r="H497" s="3">
        <v>3458</v>
      </c>
      <c r="I497" s="3">
        <v>3501</v>
      </c>
      <c r="J497" s="3">
        <v>100000</v>
      </c>
      <c r="K497" s="7" t="str" cm="1">
        <f t="array" ref="K497">IF(OR(C497="",B497="",I497=""),"",IFERROR((I497-_xlfn.XLOOKUP(1,(C$2:C$501=C497)*(B$2:B$501&lt;&gt;"")*(B$2:B$501=_xlfn.MAXIFS(B$2:B$501,C$2:C$501,C497,B$2:B$501,"&lt;"&amp;B497))*(I$2:I$501&lt;&gt;""),I$2:I$501))/_xlfn.XLOOKUP(1,(C$2:C$501=C497)*(B$2:B$501&lt;&gt;"")*(B$2:B$501=_xlfn.MAXIFS(B$2:B$501,C$2:C$501,C497,B$2:B$501,"&lt;"&amp;B497))*(I$2:I$501&lt;&gt;""),I$2:I$501),""))</f>
        <v/>
      </c>
    </row>
    <row r="498" spans="1:11">
      <c r="A498" t="s">
        <v>400</v>
      </c>
      <c r="B498" s="2">
        <v>46054</v>
      </c>
      <c r="C498" t="s">
        <v>26</v>
      </c>
      <c r="D498" t="s">
        <v>27</v>
      </c>
      <c r="E498" t="s">
        <v>28</v>
      </c>
      <c r="F498" s="3">
        <v>3500</v>
      </c>
      <c r="G498" s="3">
        <v>3523</v>
      </c>
      <c r="H498" s="3">
        <v>3463</v>
      </c>
      <c r="I498" s="3">
        <v>3488</v>
      </c>
      <c r="J498" s="3">
        <v>500000</v>
      </c>
      <c r="K498" s="7" cm="1">
        <f t="array" ref="K498">IF(OR(C498="",B498="",I498=""),"",IFERROR((I498-_xlfn.XLOOKUP(1,(C$2:C$501=C498)*(B$2:B$501&lt;&gt;"")*(B$2:B$501=_xlfn.MAXIFS(B$2:B$501,C$2:C$501,C498,B$2:B$501,"&lt;"&amp;B498))*(I$2:I$501&lt;&gt;""),I$2:I$501))/_xlfn.XLOOKUP(1,(C$2:C$501=C498)*(B$2:B$501&lt;&gt;"")*(B$2:B$501=_xlfn.MAXIFS(B$2:B$501,C$2:C$501,C498,B$2:B$501,"&lt;"&amp;B498))*(I$2:I$501&lt;&gt;""),I$2:I$501),""))</f>
        <v>0.37920126532226178</v>
      </c>
    </row>
    <row r="499" spans="1:11">
      <c r="A499" t="s">
        <v>401</v>
      </c>
      <c r="B499" s="2">
        <v>46082</v>
      </c>
      <c r="C499" t="s">
        <v>26</v>
      </c>
      <c r="D499" t="s">
        <v>27</v>
      </c>
      <c r="E499" t="s">
        <v>28</v>
      </c>
      <c r="F499" s="3">
        <v>3500</v>
      </c>
      <c r="G499" s="3">
        <v>3528</v>
      </c>
      <c r="H499" s="3">
        <v>3489</v>
      </c>
      <c r="I499" s="3">
        <v>3547</v>
      </c>
      <c r="J499" s="3">
        <v>500000</v>
      </c>
      <c r="K499" s="7" cm="1">
        <f t="array" ref="K499">IF(OR(C499="",B499="",I499=""),"",IFERROR((I499-_xlfn.XLOOKUP(1,(C$2:C$501=C499)*(B$2:B$501&lt;&gt;"")*(B$2:B$501=_xlfn.MAXIFS(B$2:B$501,C$2:C$501,C499,B$2:B$501,"&lt;"&amp;B499))*(I$2:I$501&lt;&gt;""),I$2:I$501))/_xlfn.XLOOKUP(1,(C$2:C$501=C499)*(B$2:B$501&lt;&gt;"")*(B$2:B$501=_xlfn.MAXIFS(B$2:B$501,C$2:C$501,C499,B$2:B$501,"&lt;"&amp;B499))*(I$2:I$501&lt;&gt;""),I$2:I$501),""))</f>
        <v>4.8158640226628894E-3</v>
      </c>
    </row>
    <row r="500" spans="1:11">
      <c r="A500" t="s">
        <v>401</v>
      </c>
      <c r="B500" s="2">
        <v>46023</v>
      </c>
      <c r="C500" t="s">
        <v>26</v>
      </c>
      <c r="D500" t="s">
        <v>27</v>
      </c>
      <c r="E500" t="s">
        <v>28</v>
      </c>
      <c r="F500" s="3">
        <v>2500</v>
      </c>
      <c r="G500" s="3">
        <v>2558</v>
      </c>
      <c r="H500" s="3">
        <v>2430</v>
      </c>
      <c r="I500" s="3">
        <v>2492</v>
      </c>
      <c r="J500" s="3">
        <v>250000</v>
      </c>
      <c r="K500" s="7" t="str" cm="1">
        <f t="array" ref="K500">IF(OR(C500="",B500="",I500=""),"",IFERROR((I500-_xlfn.XLOOKUP(1,(C$2:C$501=C500)*(B$2:B$501&lt;&gt;"")*(B$2:B$501=_xlfn.MAXIFS(B$2:B$501,C$2:C$501,C500,B$2:B$501,"&lt;"&amp;B500))*(I$2:I$501&lt;&gt;""),I$2:I$501))/_xlfn.XLOOKUP(1,(C$2:C$501=C500)*(B$2:B$501&lt;&gt;"")*(B$2:B$501=_xlfn.MAXIFS(B$2:B$501,C$2:C$501,C500,B$2:B$501,"&lt;"&amp;B500))*(I$2:I$501&lt;&gt;""),I$2:I$501),""))</f>
        <v/>
      </c>
    </row>
    <row r="501" spans="1:11">
      <c r="A501" t="s">
        <v>402</v>
      </c>
      <c r="C501" t="s">
        <v>16</v>
      </c>
      <c r="D501" t="s">
        <v>17</v>
      </c>
      <c r="E501" t="s">
        <v>18</v>
      </c>
      <c r="F501" s="3">
        <v>3500</v>
      </c>
      <c r="G501" s="3">
        <v>3550</v>
      </c>
      <c r="H501" s="3">
        <v>3459</v>
      </c>
      <c r="I501" s="3">
        <v>3486</v>
      </c>
      <c r="J501" s="3">
        <v>100000</v>
      </c>
      <c r="K501" s="7" t="str" cm="1">
        <f t="array" ref="K501">IF(OR(C501="",B501="",I501=""),"",IFERROR((I501-_xlfn.XLOOKUP(1,(C$2:C$501=C501)*(B$2:B$501&lt;&gt;"")*(B$2:B$501=_xlfn.MAXIFS(B$2:B$501,C$2:C$501,C501,B$2:B$501,"&lt;"&amp;B501))*(I$2:I$501&lt;&gt;""),I$2:I$501))/_xlfn.XLOOKUP(1,(C$2:C$501=C501)*(B$2:B$501&lt;&gt;"")*(B$2:B$501=_xlfn.MAXIFS(B$2:B$501,C$2:C$501,C501,B$2:B$501,"&lt;"&amp;B501))*(I$2:I$501&lt;&gt;""),I$2:I$501),""))</f>
        <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pane ySplit="1" topLeftCell="A2" activePane="bottomLeft" state="frozen"/>
      <selection pane="bottomLeft" activeCell="L16" sqref="L16"/>
    </sheetView>
  </sheetViews>
  <sheetFormatPr defaultRowHeight="14.4"/>
  <cols>
    <col min="1" max="1" width="12" customWidth="1"/>
    <col min="2" max="2" width="15.77734375" bestFit="1" customWidth="1"/>
    <col min="3" max="3" width="12.88671875" bestFit="1" customWidth="1"/>
  </cols>
  <sheetData>
    <row r="1" spans="1:3">
      <c r="A1" s="1" t="s">
        <v>2</v>
      </c>
      <c r="B1" s="1" t="s">
        <v>403</v>
      </c>
      <c r="C1" s="1" t="s">
        <v>404</v>
      </c>
    </row>
    <row r="2" spans="1:3">
      <c r="A2" t="s">
        <v>22</v>
      </c>
      <c r="B2" s="3">
        <v>134623</v>
      </c>
      <c r="C2" s="4">
        <v>25</v>
      </c>
    </row>
    <row r="3" spans="1:3">
      <c r="A3" t="s">
        <v>43</v>
      </c>
      <c r="B3" s="3">
        <v>440992</v>
      </c>
      <c r="C3" s="4">
        <v>18</v>
      </c>
    </row>
    <row r="4" spans="1:3">
      <c r="A4" t="s">
        <v>12</v>
      </c>
      <c r="B4" s="3">
        <v>116606</v>
      </c>
      <c r="C4" s="4">
        <v>18</v>
      </c>
    </row>
    <row r="5" spans="1:3">
      <c r="A5" t="s">
        <v>26</v>
      </c>
      <c r="B5" s="3">
        <v>448076</v>
      </c>
      <c r="C5" t="s">
        <v>405</v>
      </c>
    </row>
    <row r="6" spans="1:3">
      <c r="A6" t="s">
        <v>16</v>
      </c>
      <c r="B6" s="3">
        <v>475362</v>
      </c>
      <c r="C6" s="4">
        <v>25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pane ySplit="1" topLeftCell="A2" activePane="bottomLeft" state="frozen"/>
      <selection pane="bottomLeft" activeCell="E24" sqref="E24"/>
    </sheetView>
  </sheetViews>
  <sheetFormatPr defaultRowHeight="14.4"/>
  <cols>
    <col min="1" max="1" width="10" customWidth="1"/>
    <col min="2" max="2" width="19.109375" customWidth="1"/>
  </cols>
  <sheetData>
    <row r="1" spans="1:2">
      <c r="A1" s="1" t="s">
        <v>4</v>
      </c>
      <c r="B1" s="1" t="s">
        <v>406</v>
      </c>
    </row>
    <row r="2" spans="1:2">
      <c r="A2" t="s">
        <v>23</v>
      </c>
      <c r="B2" s="4">
        <v>3.49</v>
      </c>
    </row>
    <row r="3" spans="1:2">
      <c r="A3" t="s">
        <v>37</v>
      </c>
      <c r="B3" s="4">
        <v>-4.82</v>
      </c>
    </row>
    <row r="4" spans="1:2">
      <c r="A4" t="s">
        <v>28</v>
      </c>
      <c r="B4" s="4">
        <v>-0.23</v>
      </c>
    </row>
    <row r="5" spans="1:2">
      <c r="A5" t="s">
        <v>18</v>
      </c>
      <c r="B5" s="4">
        <v>-0.91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1A6AA-AD29-47EA-B075-4659E36C9679}">
  <dimension ref="A1:I61"/>
  <sheetViews>
    <sheetView tabSelected="1" topLeftCell="A36" zoomScale="85" workbookViewId="0">
      <selection activeCell="F48" sqref="F48"/>
    </sheetView>
  </sheetViews>
  <sheetFormatPr defaultRowHeight="14.4"/>
  <cols>
    <col min="1" max="1" width="29.44140625" customWidth="1"/>
    <col min="2" max="2" width="29.77734375" customWidth="1"/>
    <col min="3" max="3" width="32.77734375" customWidth="1"/>
    <col min="4" max="4" width="33.6640625" customWidth="1"/>
    <col min="5" max="5" width="26.21875" customWidth="1"/>
    <col min="6" max="6" width="40" customWidth="1"/>
    <col min="7" max="7" width="26.88671875" customWidth="1"/>
    <col min="8" max="8" width="13.44140625" bestFit="1" customWidth="1"/>
    <col min="9" max="9" width="17.33203125" bestFit="1" customWidth="1"/>
  </cols>
  <sheetData>
    <row r="1" spans="1:9" ht="25.8">
      <c r="A1" s="10" t="s">
        <v>433</v>
      </c>
      <c r="B1" s="10"/>
      <c r="C1" s="10"/>
      <c r="D1" s="10"/>
      <c r="E1" s="10"/>
      <c r="F1" s="10"/>
      <c r="G1" s="10"/>
    </row>
    <row r="2" spans="1:9" ht="15" thickBot="1"/>
    <row r="3" spans="1:9" ht="21">
      <c r="A3" s="19" t="s">
        <v>438</v>
      </c>
      <c r="B3" s="20"/>
      <c r="C3" s="20"/>
      <c r="D3" s="20"/>
      <c r="E3" s="20"/>
      <c r="F3" s="20"/>
      <c r="G3" s="20"/>
      <c r="H3" s="21"/>
    </row>
    <row r="4" spans="1:9">
      <c r="A4" s="11" t="s">
        <v>434</v>
      </c>
      <c r="B4" s="12"/>
      <c r="C4" s="12" t="s">
        <v>435</v>
      </c>
      <c r="D4" s="12"/>
      <c r="E4" s="12" t="s">
        <v>436</v>
      </c>
      <c r="F4" s="12"/>
      <c r="G4" s="12" t="s">
        <v>437</v>
      </c>
      <c r="H4" s="15"/>
    </row>
    <row r="5" spans="1:9" ht="15" thickBot="1">
      <c r="A5" s="13">
        <f>SUM(Cleaned_Companies!B2:B6)</f>
        <v>1615659</v>
      </c>
      <c r="B5" s="14"/>
      <c r="C5" s="18">
        <f>AVERAGE(Cleaned_Stock_Prices!K2:K501)</f>
        <v>0.19822663178543898</v>
      </c>
      <c r="D5" s="18"/>
      <c r="E5" s="17">
        <f>_xlfn.STDEV.S(Cleaned_Stock_Prices!K2:K501)</f>
        <v>0.84333218892169071</v>
      </c>
      <c r="F5" s="17"/>
      <c r="G5" s="14">
        <f>SUM(Cleaned_Stock_Prices!J2:J501)</f>
        <v>113650000</v>
      </c>
      <c r="H5" s="16"/>
    </row>
    <row r="6" spans="1:9" ht="15" thickBot="1">
      <c r="H6" s="50"/>
    </row>
    <row r="7" spans="1:9">
      <c r="A7" s="31" t="s">
        <v>449</v>
      </c>
      <c r="B7" s="32"/>
      <c r="C7" s="33" t="s">
        <v>450</v>
      </c>
      <c r="D7" s="34"/>
      <c r="E7" s="35"/>
      <c r="F7" s="36" t="s">
        <v>447</v>
      </c>
      <c r="G7" s="37"/>
      <c r="H7" s="51" t="s">
        <v>459</v>
      </c>
      <c r="I7" s="52"/>
    </row>
    <row r="8" spans="1:9">
      <c r="A8" s="25"/>
      <c r="B8" s="27"/>
      <c r="C8" s="25"/>
      <c r="D8" s="26"/>
      <c r="E8" s="27"/>
      <c r="F8" s="47"/>
      <c r="G8" s="48"/>
      <c r="H8" s="25"/>
      <c r="I8" s="27"/>
    </row>
    <row r="9" spans="1:9">
      <c r="A9" s="38" t="s">
        <v>439</v>
      </c>
      <c r="B9" s="27" t="s">
        <v>441</v>
      </c>
      <c r="C9" s="38" t="s">
        <v>439</v>
      </c>
      <c r="D9" s="26" t="s">
        <v>441</v>
      </c>
      <c r="E9" s="27" t="s">
        <v>442</v>
      </c>
      <c r="F9" s="38" t="s">
        <v>439</v>
      </c>
      <c r="G9" s="27" t="s">
        <v>448</v>
      </c>
      <c r="H9" s="38" t="s">
        <v>439</v>
      </c>
      <c r="I9" s="27" t="s">
        <v>441</v>
      </c>
    </row>
    <row r="10" spans="1:9">
      <c r="A10" s="39" t="s">
        <v>26</v>
      </c>
      <c r="B10" s="40">
        <v>-0.1711430817403517</v>
      </c>
      <c r="C10" s="39" t="s">
        <v>26</v>
      </c>
      <c r="D10" s="43">
        <v>-0.1711430817403517</v>
      </c>
      <c r="E10" s="44">
        <v>26250000</v>
      </c>
      <c r="F10" s="39" t="s">
        <v>443</v>
      </c>
      <c r="G10" s="44">
        <v>2195.4470588235295</v>
      </c>
      <c r="H10" s="39" t="s">
        <v>18</v>
      </c>
      <c r="I10" s="40">
        <v>-0.16109777620342774</v>
      </c>
    </row>
    <row r="11" spans="1:9">
      <c r="A11" s="39" t="s">
        <v>43</v>
      </c>
      <c r="B11" s="40">
        <v>0.64935093931572818</v>
      </c>
      <c r="C11" s="39" t="s">
        <v>43</v>
      </c>
      <c r="D11" s="43">
        <v>0.64935093931572818</v>
      </c>
      <c r="E11" s="44">
        <v>22600000</v>
      </c>
      <c r="F11" s="39" t="s">
        <v>444</v>
      </c>
      <c r="G11" s="44">
        <v>2249.6105263157897</v>
      </c>
      <c r="H11" s="39" t="s">
        <v>28</v>
      </c>
      <c r="I11" s="40">
        <v>-0.1711430817403517</v>
      </c>
    </row>
    <row r="12" spans="1:9">
      <c r="A12" s="39" t="s">
        <v>12</v>
      </c>
      <c r="B12" s="40">
        <v>-1.1476548913617133E-2</v>
      </c>
      <c r="C12" s="39" t="s">
        <v>12</v>
      </c>
      <c r="D12" s="43">
        <v>-1.1476548913617133E-2</v>
      </c>
      <c r="E12" s="44">
        <v>23150000</v>
      </c>
      <c r="F12" s="39" t="s">
        <v>445</v>
      </c>
      <c r="G12" s="44">
        <v>2602.3837209302324</v>
      </c>
      <c r="H12" s="39" t="s">
        <v>37</v>
      </c>
      <c r="I12" s="40">
        <v>-1.1476548913617133E-2</v>
      </c>
    </row>
    <row r="13" spans="1:9">
      <c r="A13" s="39" t="s">
        <v>16</v>
      </c>
      <c r="B13" s="40">
        <v>-0.16109777620342774</v>
      </c>
      <c r="C13" s="39" t="s">
        <v>16</v>
      </c>
      <c r="D13" s="43">
        <v>-0.16109777620342774</v>
      </c>
      <c r="E13" s="44">
        <v>23400000</v>
      </c>
      <c r="F13" s="39" t="s">
        <v>446</v>
      </c>
      <c r="G13" s="44">
        <v>2415.12</v>
      </c>
      <c r="H13" s="39" t="s">
        <v>23</v>
      </c>
      <c r="I13" s="40">
        <v>0.82747455021530525</v>
      </c>
    </row>
    <row r="14" spans="1:9">
      <c r="A14" s="39" t="s">
        <v>22</v>
      </c>
      <c r="B14" s="40">
        <v>1.0910974943466798</v>
      </c>
      <c r="C14" s="39" t="s">
        <v>22</v>
      </c>
      <c r="D14" s="43">
        <v>1.0910974943466798</v>
      </c>
      <c r="E14" s="44">
        <v>18250000</v>
      </c>
      <c r="F14" s="39" t="s">
        <v>440</v>
      </c>
      <c r="G14" s="44">
        <v>2365.1448087431695</v>
      </c>
      <c r="H14" s="39" t="s">
        <v>440</v>
      </c>
      <c r="I14" s="40">
        <v>0.19822663178543903</v>
      </c>
    </row>
    <row r="15" spans="1:9" ht="15" thickBot="1">
      <c r="A15" s="41" t="s">
        <v>440</v>
      </c>
      <c r="B15" s="42">
        <v>0.19822663178543903</v>
      </c>
      <c r="C15" s="41" t="s">
        <v>440</v>
      </c>
      <c r="D15" s="45">
        <v>0.19822663178543903</v>
      </c>
      <c r="E15" s="46">
        <v>113650000</v>
      </c>
      <c r="F15" s="28"/>
      <c r="G15" s="30"/>
      <c r="H15" s="28"/>
      <c r="I15" s="30"/>
    </row>
    <row r="16" spans="1:9" ht="15" thickBot="1"/>
    <row r="17" spans="1:7">
      <c r="A17" s="31" t="s">
        <v>449</v>
      </c>
      <c r="B17" s="32"/>
      <c r="C17" s="33" t="s">
        <v>450</v>
      </c>
      <c r="D17" s="34"/>
      <c r="E17" s="35"/>
      <c r="F17" s="36" t="s">
        <v>447</v>
      </c>
      <c r="G17" s="37"/>
    </row>
    <row r="18" spans="1:7">
      <c r="A18" s="25"/>
      <c r="B18" s="27"/>
      <c r="C18" s="25"/>
      <c r="D18" s="26"/>
      <c r="E18" s="27"/>
      <c r="F18" s="25"/>
      <c r="G18" s="27"/>
    </row>
    <row r="19" spans="1:7">
      <c r="A19" s="25"/>
      <c r="B19" s="27"/>
      <c r="C19" s="25"/>
      <c r="D19" s="26"/>
      <c r="E19" s="27"/>
      <c r="F19" s="25"/>
      <c r="G19" s="27"/>
    </row>
    <row r="20" spans="1:7">
      <c r="A20" s="25"/>
      <c r="B20" s="27"/>
      <c r="C20" s="25"/>
      <c r="D20" s="26"/>
      <c r="E20" s="27"/>
      <c r="F20" s="25"/>
      <c r="G20" s="27"/>
    </row>
    <row r="21" spans="1:7">
      <c r="A21" s="25"/>
      <c r="B21" s="27"/>
      <c r="C21" s="25"/>
      <c r="D21" s="26"/>
      <c r="E21" s="27"/>
      <c r="F21" s="25"/>
      <c r="G21" s="27"/>
    </row>
    <row r="22" spans="1:7">
      <c r="A22" s="25"/>
      <c r="B22" s="27"/>
      <c r="C22" s="25"/>
      <c r="D22" s="26"/>
      <c r="E22" s="27"/>
      <c r="F22" s="25"/>
      <c r="G22" s="27"/>
    </row>
    <row r="23" spans="1:7">
      <c r="A23" s="25"/>
      <c r="B23" s="27"/>
      <c r="C23" s="25"/>
      <c r="D23" s="26"/>
      <c r="E23" s="27"/>
      <c r="F23" s="25"/>
      <c r="G23" s="27"/>
    </row>
    <row r="24" spans="1:7">
      <c r="A24" s="25"/>
      <c r="B24" s="27"/>
      <c r="C24" s="25"/>
      <c r="D24" s="26"/>
      <c r="E24" s="27"/>
      <c r="F24" s="25"/>
      <c r="G24" s="27"/>
    </row>
    <row r="25" spans="1:7">
      <c r="A25" s="25"/>
      <c r="B25" s="27"/>
      <c r="C25" s="25"/>
      <c r="D25" s="26"/>
      <c r="E25" s="27"/>
      <c r="F25" s="25"/>
      <c r="G25" s="27"/>
    </row>
    <row r="26" spans="1:7">
      <c r="A26" s="25"/>
      <c r="B26" s="27"/>
      <c r="C26" s="25"/>
      <c r="D26" s="26"/>
      <c r="E26" s="27"/>
      <c r="F26" s="25"/>
      <c r="G26" s="27"/>
    </row>
    <row r="27" spans="1:7">
      <c r="A27" s="25"/>
      <c r="B27" s="27"/>
      <c r="C27" s="25"/>
      <c r="D27" s="26"/>
      <c r="E27" s="27"/>
      <c r="F27" s="25"/>
      <c r="G27" s="27"/>
    </row>
    <row r="28" spans="1:7">
      <c r="A28" s="25"/>
      <c r="B28" s="27"/>
      <c r="C28" s="25"/>
      <c r="D28" s="26"/>
      <c r="E28" s="27"/>
      <c r="F28" s="25"/>
      <c r="G28" s="27"/>
    </row>
    <row r="29" spans="1:7">
      <c r="A29" s="25"/>
      <c r="B29" s="27"/>
      <c r="C29" s="25"/>
      <c r="D29" s="26"/>
      <c r="E29" s="27"/>
      <c r="F29" s="25"/>
      <c r="G29" s="27"/>
    </row>
    <row r="30" spans="1:7">
      <c r="A30" s="25"/>
      <c r="B30" s="27"/>
      <c r="C30" s="25"/>
      <c r="D30" s="26"/>
      <c r="E30" s="27"/>
      <c r="F30" s="25"/>
      <c r="G30" s="27"/>
    </row>
    <row r="31" spans="1:7">
      <c r="A31" s="25"/>
      <c r="B31" s="27"/>
      <c r="C31" s="25"/>
      <c r="D31" s="26"/>
      <c r="E31" s="27"/>
      <c r="F31" s="25"/>
      <c r="G31" s="27"/>
    </row>
    <row r="32" spans="1:7">
      <c r="A32" s="25"/>
      <c r="B32" s="27"/>
      <c r="C32" s="25"/>
      <c r="D32" s="26"/>
      <c r="E32" s="27"/>
      <c r="F32" s="25"/>
      <c r="G32" s="27"/>
    </row>
    <row r="33" spans="1:7" ht="15" thickBot="1">
      <c r="A33" s="28"/>
      <c r="B33" s="30"/>
      <c r="C33" s="28"/>
      <c r="D33" s="29"/>
      <c r="E33" s="30"/>
      <c r="F33" s="28"/>
      <c r="G33" s="30"/>
    </row>
    <row r="34" spans="1:7" ht="15" thickBot="1"/>
    <row r="35" spans="1:7">
      <c r="A35" s="22" t="s">
        <v>451</v>
      </c>
      <c r="B35" s="23"/>
      <c r="C35" s="23"/>
      <c r="D35" s="24"/>
      <c r="E35" s="22" t="s">
        <v>452</v>
      </c>
      <c r="F35" s="23"/>
      <c r="G35" s="24"/>
    </row>
    <row r="36" spans="1:7">
      <c r="A36" s="25"/>
      <c r="B36" s="26"/>
      <c r="C36" s="26"/>
      <c r="D36" s="27"/>
      <c r="E36" s="25"/>
      <c r="F36" s="26"/>
      <c r="G36" s="27"/>
    </row>
    <row r="37" spans="1:7">
      <c r="A37" s="25"/>
      <c r="B37" s="26"/>
      <c r="C37" s="26"/>
      <c r="D37" s="27"/>
      <c r="E37" s="25"/>
      <c r="F37" s="26"/>
      <c r="G37" s="27"/>
    </row>
    <row r="38" spans="1:7">
      <c r="A38" s="25"/>
      <c r="B38" s="26"/>
      <c r="C38" s="26"/>
      <c r="D38" s="27"/>
      <c r="E38" s="25"/>
      <c r="F38" s="26"/>
      <c r="G38" s="27"/>
    </row>
    <row r="39" spans="1:7">
      <c r="A39" s="25"/>
      <c r="B39" s="26"/>
      <c r="C39" s="26"/>
      <c r="D39" s="27"/>
      <c r="E39" s="25"/>
      <c r="F39" s="26"/>
      <c r="G39" s="27"/>
    </row>
    <row r="40" spans="1:7">
      <c r="A40" s="25"/>
      <c r="B40" s="26"/>
      <c r="C40" s="26"/>
      <c r="D40" s="27"/>
      <c r="E40" s="25"/>
      <c r="F40" s="26"/>
      <c r="G40" s="27"/>
    </row>
    <row r="41" spans="1:7">
      <c r="A41" s="25"/>
      <c r="B41" s="26"/>
      <c r="C41" s="26"/>
      <c r="D41" s="27"/>
      <c r="E41" s="25"/>
      <c r="F41" s="26"/>
      <c r="G41" s="27"/>
    </row>
    <row r="42" spans="1:7">
      <c r="A42" s="25"/>
      <c r="B42" s="26"/>
      <c r="C42" s="26"/>
      <c r="D42" s="27"/>
      <c r="E42" s="25"/>
      <c r="F42" s="26"/>
      <c r="G42" s="27"/>
    </row>
    <row r="43" spans="1:7">
      <c r="A43" s="25"/>
      <c r="B43" s="26"/>
      <c r="C43" s="26"/>
      <c r="D43" s="27"/>
      <c r="E43" s="25"/>
      <c r="F43" s="26"/>
      <c r="G43" s="27"/>
    </row>
    <row r="44" spans="1:7">
      <c r="A44" s="25"/>
      <c r="B44" s="26"/>
      <c r="C44" s="26"/>
      <c r="D44" s="27"/>
      <c r="E44" s="25"/>
      <c r="F44" s="26"/>
      <c r="G44" s="27"/>
    </row>
    <row r="45" spans="1:7" ht="15" thickBot="1">
      <c r="A45" s="25"/>
      <c r="B45" s="26"/>
      <c r="C45" s="26"/>
      <c r="D45" s="27"/>
      <c r="E45" s="28"/>
      <c r="F45" s="29"/>
      <c r="G45" s="30"/>
    </row>
    <row r="46" spans="1:7">
      <c r="A46" s="25"/>
      <c r="B46" s="26"/>
      <c r="C46" s="26"/>
      <c r="D46" s="27"/>
    </row>
    <row r="47" spans="1:7">
      <c r="A47" s="25"/>
      <c r="B47" s="26"/>
      <c r="C47" s="26"/>
      <c r="D47" s="27"/>
    </row>
    <row r="48" spans="1:7">
      <c r="A48" s="25"/>
      <c r="B48" s="26"/>
      <c r="C48" s="26"/>
      <c r="D48" s="27"/>
    </row>
    <row r="49" spans="1:6">
      <c r="A49" s="25"/>
      <c r="B49" s="26"/>
      <c r="C49" s="26"/>
      <c r="D49" s="27"/>
    </row>
    <row r="50" spans="1:6" ht="15" thickBot="1">
      <c r="A50" s="28"/>
      <c r="B50" s="29"/>
      <c r="C50" s="29"/>
      <c r="D50" s="30"/>
    </row>
    <row r="51" spans="1:6" ht="15" thickBot="1"/>
    <row r="52" spans="1:6" ht="23.4">
      <c r="A52" s="53" t="s">
        <v>453</v>
      </c>
      <c r="B52" s="54"/>
      <c r="C52" s="55"/>
      <c r="D52" s="53" t="s">
        <v>460</v>
      </c>
      <c r="E52" s="54"/>
      <c r="F52" s="55"/>
    </row>
    <row r="53" spans="1:6">
      <c r="A53" s="56"/>
      <c r="B53" s="57"/>
      <c r="C53" s="58"/>
      <c r="D53" s="56"/>
      <c r="E53" s="57"/>
      <c r="F53" s="58"/>
    </row>
    <row r="54" spans="1:6">
      <c r="A54" s="8" t="s">
        <v>454</v>
      </c>
      <c r="B54" s="59" t="s">
        <v>455</v>
      </c>
      <c r="C54" s="9" t="s">
        <v>456</v>
      </c>
      <c r="D54" s="8" t="s">
        <v>454</v>
      </c>
      <c r="E54" s="59" t="s">
        <v>4</v>
      </c>
      <c r="F54" s="9" t="s">
        <v>456</v>
      </c>
    </row>
    <row r="55" spans="1:6">
      <c r="A55" s="56" t="s">
        <v>457</v>
      </c>
      <c r="B55" s="57" t="s">
        <v>22</v>
      </c>
      <c r="C55" s="60">
        <v>1.0911</v>
      </c>
      <c r="D55" s="56" t="s">
        <v>461</v>
      </c>
      <c r="E55" s="57" t="s">
        <v>23</v>
      </c>
      <c r="F55" s="60">
        <v>0.82750000000000001</v>
      </c>
    </row>
    <row r="56" spans="1:6" ht="15" thickBot="1">
      <c r="A56" s="61" t="s">
        <v>458</v>
      </c>
      <c r="B56" s="62" t="s">
        <v>26</v>
      </c>
      <c r="C56" s="63">
        <v>-0.1711</v>
      </c>
      <c r="D56" s="61" t="s">
        <v>462</v>
      </c>
      <c r="E56" s="62" t="s">
        <v>28</v>
      </c>
      <c r="F56" s="63">
        <v>-0.1711</v>
      </c>
    </row>
    <row r="57" spans="1:6" ht="15" thickBot="1"/>
    <row r="58" spans="1:6" ht="21">
      <c r="A58" s="19" t="s">
        <v>463</v>
      </c>
      <c r="B58" s="20"/>
      <c r="C58" s="20"/>
      <c r="D58" s="20"/>
      <c r="E58" s="20"/>
      <c r="F58" s="21"/>
    </row>
    <row r="59" spans="1:6">
      <c r="A59" s="25"/>
      <c r="B59" s="26"/>
      <c r="C59" s="26"/>
      <c r="D59" s="26"/>
      <c r="E59" s="26"/>
      <c r="F59" s="27"/>
    </row>
    <row r="60" spans="1:6">
      <c r="A60" s="64" t="s">
        <v>464</v>
      </c>
      <c r="B60" s="65" t="s">
        <v>465</v>
      </c>
      <c r="C60" s="65"/>
      <c r="D60" s="65"/>
      <c r="E60" s="65"/>
      <c r="F60" s="66"/>
    </row>
    <row r="61" spans="1:6" ht="15" thickBot="1">
      <c r="A61" s="67" t="s">
        <v>466</v>
      </c>
      <c r="B61" s="68" t="s">
        <v>467</v>
      </c>
      <c r="C61" s="68"/>
      <c r="D61" s="68"/>
      <c r="E61" s="68"/>
      <c r="F61" s="69"/>
    </row>
  </sheetData>
  <mergeCells count="25">
    <mergeCell ref="B60:F60"/>
    <mergeCell ref="B61:F61"/>
    <mergeCell ref="A58:F58"/>
    <mergeCell ref="A3:H3"/>
    <mergeCell ref="A35:D35"/>
    <mergeCell ref="E35:G35"/>
    <mergeCell ref="A52:C52"/>
    <mergeCell ref="H7:I7"/>
    <mergeCell ref="D52:F52"/>
    <mergeCell ref="A17:B17"/>
    <mergeCell ref="C17:E17"/>
    <mergeCell ref="F17:G17"/>
    <mergeCell ref="A1:G1"/>
    <mergeCell ref="F8:G8"/>
    <mergeCell ref="F7:G7"/>
    <mergeCell ref="A7:B7"/>
    <mergeCell ref="C7:E7"/>
    <mergeCell ref="A4:B4"/>
    <mergeCell ref="A5:B5"/>
    <mergeCell ref="C4:D4"/>
    <mergeCell ref="E4:F4"/>
    <mergeCell ref="G4:H4"/>
    <mergeCell ref="G5:H5"/>
    <mergeCell ref="E5:F5"/>
    <mergeCell ref="C5:D5"/>
  </mergeCells>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16B9-6756-44FF-949D-F459A4EB5984}">
  <dimension ref="A1:B15"/>
  <sheetViews>
    <sheetView workbookViewId="0">
      <selection activeCell="A4" sqref="A4"/>
    </sheetView>
  </sheetViews>
  <sheetFormatPr defaultRowHeight="14.4"/>
  <cols>
    <col min="1" max="1" width="31.44140625" bestFit="1" customWidth="1"/>
    <col min="2" max="2" width="111.21875" customWidth="1"/>
  </cols>
  <sheetData>
    <row r="1" spans="1:2" ht="17.399999999999999">
      <c r="A1" s="71" t="s">
        <v>498</v>
      </c>
      <c r="B1" s="71"/>
    </row>
    <row r="2" spans="1:2">
      <c r="A2" s="70"/>
      <c r="B2" s="70"/>
    </row>
    <row r="3" spans="1:2" ht="15.6">
      <c r="A3" s="72" t="s">
        <v>499</v>
      </c>
      <c r="B3" s="72" t="s">
        <v>500</v>
      </c>
    </row>
    <row r="4" spans="1:2" ht="29.4" customHeight="1">
      <c r="A4" s="70" t="s">
        <v>501</v>
      </c>
      <c r="B4" s="70" t="s">
        <v>502</v>
      </c>
    </row>
    <row r="5" spans="1:2" ht="19.8" customHeight="1">
      <c r="A5" s="70" t="s">
        <v>503</v>
      </c>
      <c r="B5" s="70" t="s">
        <v>504</v>
      </c>
    </row>
    <row r="6" spans="1:2" ht="19.2" customHeight="1">
      <c r="A6" s="70" t="s">
        <v>457</v>
      </c>
      <c r="B6" s="70" t="s">
        <v>505</v>
      </c>
    </row>
    <row r="7" spans="1:2" ht="18.600000000000001" customHeight="1">
      <c r="A7" s="70" t="s">
        <v>506</v>
      </c>
      <c r="B7" s="70" t="s">
        <v>507</v>
      </c>
    </row>
    <row r="8" spans="1:2" ht="19.8" customHeight="1">
      <c r="A8" s="70" t="s">
        <v>461</v>
      </c>
      <c r="B8" s="70" t="s">
        <v>508</v>
      </c>
    </row>
    <row r="9" spans="1:2" ht="22.2" customHeight="1">
      <c r="A9" s="70" t="s">
        <v>509</v>
      </c>
      <c r="B9" s="70" t="s">
        <v>510</v>
      </c>
    </row>
    <row r="10" spans="1:2" ht="19.8" customHeight="1">
      <c r="A10" s="70" t="s">
        <v>487</v>
      </c>
      <c r="B10" s="70" t="s">
        <v>511</v>
      </c>
    </row>
    <row r="11" spans="1:2" ht="26.4" customHeight="1">
      <c r="A11" s="70" t="s">
        <v>512</v>
      </c>
      <c r="B11" s="70" t="s">
        <v>513</v>
      </c>
    </row>
    <row r="12" spans="1:2" ht="27.6" customHeight="1">
      <c r="A12" s="70" t="s">
        <v>514</v>
      </c>
      <c r="B12" s="70" t="s">
        <v>515</v>
      </c>
    </row>
    <row r="13" spans="1:2" ht="30.6" customHeight="1">
      <c r="A13" s="70" t="s">
        <v>516</v>
      </c>
      <c r="B13" s="70" t="s">
        <v>517</v>
      </c>
    </row>
    <row r="14" spans="1:2" ht="30" customHeight="1">
      <c r="A14" s="70" t="s">
        <v>518</v>
      </c>
      <c r="B14" s="70" t="s">
        <v>519</v>
      </c>
    </row>
    <row r="15" spans="1:2" ht="42.6" customHeight="1">
      <c r="A15" s="70" t="s">
        <v>520</v>
      </c>
      <c r="B15" s="70" t="s">
        <v>521</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B78ED-C974-4232-AA70-9E2685FDBF9F}">
  <dimension ref="A1:B6"/>
  <sheetViews>
    <sheetView workbookViewId="0">
      <selection activeCell="A5" sqref="A5"/>
    </sheetView>
  </sheetViews>
  <sheetFormatPr defaultRowHeight="14.4"/>
  <cols>
    <col min="1" max="1" width="24.44140625" bestFit="1" customWidth="1"/>
    <col min="2" max="2" width="94.88671875" customWidth="1"/>
  </cols>
  <sheetData>
    <row r="1" spans="1:2">
      <c r="A1" t="s">
        <v>468</v>
      </c>
      <c r="B1" t="s">
        <v>469</v>
      </c>
    </row>
    <row r="2" spans="1:2" ht="60.6" customHeight="1">
      <c r="A2" t="s">
        <v>470</v>
      </c>
      <c r="B2" s="70" t="s">
        <v>471</v>
      </c>
    </row>
    <row r="3" spans="1:2" ht="49.8" customHeight="1">
      <c r="A3" t="s">
        <v>472</v>
      </c>
      <c r="B3" s="70" t="s">
        <v>473</v>
      </c>
    </row>
    <row r="4" spans="1:2" ht="43.2" customHeight="1">
      <c r="A4" t="s">
        <v>474</v>
      </c>
      <c r="B4" s="70" t="s">
        <v>475</v>
      </c>
    </row>
    <row r="5" spans="1:2" ht="72" customHeight="1">
      <c r="A5" t="s">
        <v>476</v>
      </c>
      <c r="B5" s="70" t="s">
        <v>477</v>
      </c>
    </row>
    <row r="6" spans="1:2" ht="57" customHeight="1">
      <c r="A6" t="s">
        <v>478</v>
      </c>
      <c r="B6" s="70" t="s">
        <v>479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2BDE5-DBCD-4BE9-A309-783055B9F305}">
  <dimension ref="A1:B19"/>
  <sheetViews>
    <sheetView workbookViewId="0">
      <selection activeCell="A4" sqref="A4"/>
    </sheetView>
  </sheetViews>
  <sheetFormatPr defaultRowHeight="14.4"/>
  <cols>
    <col min="1" max="1" width="33.33203125" bestFit="1" customWidth="1"/>
    <col min="2" max="2" width="78.5546875" customWidth="1"/>
  </cols>
  <sheetData>
    <row r="1" spans="1:2" ht="15.6">
      <c r="A1" s="49" t="s">
        <v>480</v>
      </c>
      <c r="B1" s="49"/>
    </row>
    <row r="3" spans="1:2" ht="34.799999999999997" customHeight="1">
      <c r="A3" t="s">
        <v>481</v>
      </c>
      <c r="B3" s="70" t="s">
        <v>482</v>
      </c>
    </row>
    <row r="4" spans="1:2">
      <c r="B4" s="70"/>
    </row>
    <row r="5" spans="1:2" ht="26.4" customHeight="1">
      <c r="A5" t="s">
        <v>483</v>
      </c>
      <c r="B5" s="70" t="s">
        <v>484</v>
      </c>
    </row>
    <row r="6" spans="1:2">
      <c r="B6" s="70"/>
    </row>
    <row r="7" spans="1:2" ht="28.8" customHeight="1">
      <c r="A7" t="s">
        <v>485</v>
      </c>
      <c r="B7" s="70" t="s">
        <v>486</v>
      </c>
    </row>
    <row r="8" spans="1:2">
      <c r="B8" s="70"/>
    </row>
    <row r="9" spans="1:2" ht="27" customHeight="1">
      <c r="A9" t="s">
        <v>487</v>
      </c>
      <c r="B9" s="70" t="s">
        <v>488</v>
      </c>
    </row>
    <row r="10" spans="1:2">
      <c r="B10" s="70"/>
    </row>
    <row r="11" spans="1:2" ht="27" customHeight="1">
      <c r="A11" t="s">
        <v>476</v>
      </c>
      <c r="B11" s="70" t="s">
        <v>489</v>
      </c>
    </row>
    <row r="12" spans="1:2">
      <c r="B12" s="70"/>
    </row>
    <row r="13" spans="1:2" ht="41.4" customHeight="1">
      <c r="A13" t="s">
        <v>490</v>
      </c>
      <c r="B13" s="70" t="s">
        <v>491</v>
      </c>
    </row>
    <row r="14" spans="1:2">
      <c r="B14" s="70"/>
    </row>
    <row r="15" spans="1:2" ht="29.4" customHeight="1">
      <c r="A15" t="s">
        <v>492</v>
      </c>
      <c r="B15" s="70" t="s">
        <v>493</v>
      </c>
    </row>
    <row r="16" spans="1:2">
      <c r="B16" s="70"/>
    </row>
    <row r="17" spans="1:2" ht="30.6" customHeight="1">
      <c r="A17" t="s">
        <v>494</v>
      </c>
      <c r="B17" s="70" t="s">
        <v>495</v>
      </c>
    </row>
    <row r="18" spans="1:2">
      <c r="B18" s="70"/>
    </row>
    <row r="19" spans="1:2" ht="31.2" customHeight="1">
      <c r="A19" t="s">
        <v>496</v>
      </c>
      <c r="B19" s="70" t="s">
        <v>497</v>
      </c>
    </row>
  </sheetData>
  <mergeCells count="1">
    <mergeCell ref="A1: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pane ySplit="1" topLeftCell="A2" activePane="bottomLeft" state="frozen"/>
      <selection pane="bottomLeft"/>
    </sheetView>
  </sheetViews>
  <sheetFormatPr defaultRowHeight="14.4"/>
  <cols>
    <col min="1" max="1" width="24" customWidth="1"/>
    <col min="2" max="2" width="30" customWidth="1"/>
    <col min="3" max="3" width="85" customWidth="1"/>
  </cols>
  <sheetData>
    <row r="1" spans="1:3">
      <c r="A1" s="5" t="s">
        <v>407</v>
      </c>
      <c r="B1" s="5" t="s">
        <v>408</v>
      </c>
      <c r="C1" s="5" t="s">
        <v>409</v>
      </c>
    </row>
    <row r="2" spans="1:3">
      <c r="A2" s="6" t="s">
        <v>410</v>
      </c>
      <c r="B2" s="6" t="s">
        <v>411</v>
      </c>
      <c r="C2" s="6" t="s">
        <v>412</v>
      </c>
    </row>
    <row r="3" spans="1:3">
      <c r="A3" s="6" t="s">
        <v>1</v>
      </c>
      <c r="B3" s="6" t="s">
        <v>413</v>
      </c>
      <c r="C3" s="6" t="s">
        <v>414</v>
      </c>
    </row>
    <row r="4" spans="1:3">
      <c r="A4" s="6" t="s">
        <v>4</v>
      </c>
      <c r="B4" s="6" t="s">
        <v>415</v>
      </c>
      <c r="C4" s="6" t="s">
        <v>416</v>
      </c>
    </row>
    <row r="5" spans="1:3">
      <c r="A5" s="6" t="s">
        <v>9</v>
      </c>
      <c r="B5" s="6" t="s">
        <v>417</v>
      </c>
      <c r="C5" s="6" t="s">
        <v>418</v>
      </c>
    </row>
    <row r="6" spans="1:3">
      <c r="A6" s="6" t="s">
        <v>0</v>
      </c>
      <c r="B6" s="6" t="s">
        <v>419</v>
      </c>
      <c r="C6" s="6" t="s">
        <v>420</v>
      </c>
    </row>
    <row r="7" spans="1:3">
      <c r="A7" s="6" t="s">
        <v>421</v>
      </c>
      <c r="B7" s="6" t="s">
        <v>422</v>
      </c>
      <c r="C7" s="6" t="s">
        <v>423</v>
      </c>
    </row>
    <row r="8" spans="1:3">
      <c r="A8" s="6" t="s">
        <v>424</v>
      </c>
      <c r="B8" s="6" t="s">
        <v>425</v>
      </c>
      <c r="C8" s="6" t="s">
        <v>426</v>
      </c>
    </row>
    <row r="9" spans="1:3">
      <c r="A9" s="6" t="s">
        <v>427</v>
      </c>
      <c r="B9" s="6" t="s">
        <v>425</v>
      </c>
      <c r="C9" s="6" t="s">
        <v>428</v>
      </c>
    </row>
    <row r="10" spans="1:3">
      <c r="A10" s="6" t="s">
        <v>429</v>
      </c>
      <c r="B10" s="6" t="s">
        <v>430</v>
      </c>
      <c r="C10" s="6" t="s">
        <v>431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0A99867-AE83-4467-875E-462ACE0318D1}">
  <ds:schemaRefs/>
</ds:datastoreItem>
</file>

<file path=customXml/itemProps2.xml><?xml version="1.0" encoding="utf-8"?>
<ds:datastoreItem xmlns:ds="http://schemas.openxmlformats.org/officeDocument/2006/customXml" ds:itemID="{5C4DD008-6E5B-4AE4-BFDD-482F6D1CBCC9}">
  <ds:schemaRefs/>
</ds:datastoreItem>
</file>

<file path=customXml/itemProps3.xml><?xml version="1.0" encoding="utf-8"?>
<ds:datastoreItem xmlns:ds="http://schemas.openxmlformats.org/officeDocument/2006/customXml" ds:itemID="{A2E5FDCB-3B48-4DC9-B2D6-AA346850029C}">
  <ds:schemaRefs/>
</ds:datastoreItem>
</file>

<file path=customXml/itemProps4.xml><?xml version="1.0" encoding="utf-8"?>
<ds:datastoreItem xmlns:ds="http://schemas.openxmlformats.org/officeDocument/2006/customXml" ds:itemID="{7D77FA37-4B7D-46CD-894A-034FDFA1A30D}">
  <ds:schemaRefs/>
</ds:datastoreItem>
</file>

<file path=customXml/itemProps5.xml><?xml version="1.0" encoding="utf-8"?>
<ds:datastoreItem xmlns:ds="http://schemas.openxmlformats.org/officeDocument/2006/customXml" ds:itemID="{51EB53FD-1779-409B-A80F-DADD303A7973}">
  <ds:schemaRefs/>
</ds:datastoreItem>
</file>

<file path=customXml/itemProps6.xml><?xml version="1.0" encoding="utf-8"?>
<ds:datastoreItem xmlns:ds="http://schemas.openxmlformats.org/officeDocument/2006/customXml" ds:itemID="{E6369DA0-F21A-4F1B-90B7-465E61FCEE1B}">
  <ds:schemaRefs/>
</ds:datastoreItem>
</file>

<file path=customXml/itemProps7.xml><?xml version="1.0" encoding="utf-8"?>
<ds:datastoreItem xmlns:ds="http://schemas.openxmlformats.org/officeDocument/2006/customXml" ds:itemID="{F868F3E2-9243-4628-9A94-FDE185941868}">
  <ds:schemaRefs/>
</ds:datastoreItem>
</file>

<file path=customXml/itemProps8.xml><?xml version="1.0" encoding="utf-8"?>
<ds:datastoreItem xmlns:ds="http://schemas.openxmlformats.org/officeDocument/2006/customXml" ds:itemID="{586D91D6-14A6-493B-B49B-4F97FCBBF289}">
  <ds:schemaRefs/>
</ds:datastoreItem>
</file>

<file path=customXml/itemProps9.xml><?xml version="1.0" encoding="utf-8"?>
<ds:datastoreItem xmlns:ds="http://schemas.openxmlformats.org/officeDocument/2006/customXml" ds:itemID="{D0D05537-27A6-417E-A7F4-76783FF8DCA8}">
  <ds:schemaRefs/>
</ds:datastoreItem>
</file>

<file path=customXml/itemProps10.xml><?xml version="1.0" encoding="utf-8"?>
<ds:datastoreItem xmlns:ds="http://schemas.openxmlformats.org/officeDocument/2006/customXml" ds:itemID="{67A7DF2D-EBFD-4F13-BF64-948B4930AFD5}">
  <ds:schemaRefs/>
</ds:datastoreItem>
</file>

<file path=customXml/itemProps11.xml><?xml version="1.0" encoding="utf-8"?>
<ds:datastoreItem xmlns:ds="http://schemas.openxmlformats.org/officeDocument/2006/customXml" ds:itemID="{13F51F42-AB86-4350-BDAA-D04B03D59CF6}">
  <ds:schemaRefs/>
</ds:datastoreItem>
</file>

<file path=customXml/itemProps12.xml><?xml version="1.0" encoding="utf-8"?>
<ds:datastoreItem xmlns:ds="http://schemas.openxmlformats.org/officeDocument/2006/customXml" ds:itemID="{876A410B-89CE-46AD-A576-550D0238BA0E}">
  <ds:schemaRefs/>
</ds:datastoreItem>
</file>

<file path=customXml/itemProps13.xml><?xml version="1.0" encoding="utf-8"?>
<ds:datastoreItem xmlns:ds="http://schemas.openxmlformats.org/officeDocument/2006/customXml" ds:itemID="{1721FAED-508B-4F38-A487-BCDBB17AF52D}">
  <ds:schemaRefs/>
</ds:datastoreItem>
</file>

<file path=customXml/itemProps14.xml><?xml version="1.0" encoding="utf-8"?>
<ds:datastoreItem xmlns:ds="http://schemas.openxmlformats.org/officeDocument/2006/customXml" ds:itemID="{5A7AD514-A82E-441E-99F2-BBCBAB7A3FE0}">
  <ds:schemaRefs/>
</ds:datastoreItem>
</file>

<file path=customXml/itemProps15.xml><?xml version="1.0" encoding="utf-8"?>
<ds:datastoreItem xmlns:ds="http://schemas.openxmlformats.org/officeDocument/2006/customXml" ds:itemID="{A5FD1C00-1BC4-41D7-9B2C-DA4CB1B31F4B}">
  <ds:schemaRefs/>
</ds:datastoreItem>
</file>

<file path=customXml/itemProps16.xml><?xml version="1.0" encoding="utf-8"?>
<ds:datastoreItem xmlns:ds="http://schemas.openxmlformats.org/officeDocument/2006/customXml" ds:itemID="{AB086368-B12A-47D0-834B-FE542BC7A2BE}">
  <ds:schemaRefs/>
</ds:datastoreItem>
</file>

<file path=customXml/itemProps17.xml><?xml version="1.0" encoding="utf-8"?>
<ds:datastoreItem xmlns:ds="http://schemas.openxmlformats.org/officeDocument/2006/customXml" ds:itemID="{852E35D0-9B3D-4BAF-BED3-466E836A08E3}">
  <ds:schemaRefs/>
</ds:datastoreItem>
</file>

<file path=customXml/itemProps18.xml><?xml version="1.0" encoding="utf-8"?>
<ds:datastoreItem xmlns:ds="http://schemas.openxmlformats.org/officeDocument/2006/customXml" ds:itemID="{F43373E6-55EE-46B3-94CA-BDD0099542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Stock_Prices</vt:lpstr>
      <vt:lpstr>Companies</vt:lpstr>
      <vt:lpstr>Sectors</vt:lpstr>
      <vt:lpstr>Cleaned_Stock_Prices</vt:lpstr>
      <vt:lpstr>Cleaned_Companies</vt:lpstr>
      <vt:lpstr>Cleaned_Sectors</vt:lpstr>
      <vt:lpstr>EXECUTIVE DAHSBOARD</vt:lpstr>
      <vt:lpstr>Executive_Report</vt:lpstr>
      <vt:lpstr>AI PROMPTS</vt:lpstr>
      <vt:lpstr>AI INSIGHTS</vt:lpstr>
      <vt:lpstr>Task1_Cleaning_Log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Shaganpreet Kaur</cp:lastModifiedBy>
  <dcterms:created xsi:type="dcterms:W3CDTF">2026-07-07T08:11:31Z</dcterms:created>
  <dcterms:modified xsi:type="dcterms:W3CDTF">2026-09-27T01:52:12Z</dcterms:modified>
</cp:coreProperties>
</file>